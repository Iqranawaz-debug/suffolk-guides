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Residences" sheetId="3" state="visible" r:id="rId3"/>
    <sheet name="Employment" sheetId="4" state="visible" r:id="rId4"/>
    <sheet name="Education" sheetId="5" state="visible" r:id="rId5"/>
    <sheet name="Legal Matters" sheetId="6" state="visible" r:id="rId6"/>
    <sheet name="Financial" sheetId="7" state="visible" r:id="rId7"/>
    <sheet name="Licenses" sheetId="8" state="visible" r:id="rId8"/>
    <sheet name="References" sheetId="9" state="visible" r:id="rId9"/>
    <sheet name="Law School App Check" sheetId="10" state="visible" r:id="rId10"/>
    <sheet name="Documents" sheetId="11" state="visible" r:id="rId11"/>
    <sheet name="Change Log"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quot;$&quot;#,##0.00"/>
  </numFmts>
  <fonts count="6">
    <font>
      <name val="Calibri"/>
      <family val="2"/>
      <color theme="1"/>
      <sz val="11"/>
      <scheme val="minor"/>
    </font>
    <font>
      <b val="1"/>
      <color rgb="0018212F"/>
      <sz val="18"/>
    </font>
    <font>
      <color rgb="00657282"/>
      <sz val="9"/>
    </font>
    <font>
      <b val="1"/>
      <color rgb="000F4FAB"/>
      <sz val="12"/>
    </font>
    <font>
      <b val="1"/>
      <color rgb="00FFFFFF"/>
    </font>
    <font>
      <b val="1"/>
      <color rgb="0018212F"/>
      <sz val="14"/>
    </font>
  </fonts>
  <fills count="4">
    <fill>
      <patternFill/>
    </fill>
    <fill>
      <patternFill patternType="gray125"/>
    </fill>
    <fill>
      <patternFill patternType="solid">
        <fgColor rgb="000F4FAB"/>
      </patternFill>
    </fill>
    <fill>
      <patternFill patternType="solid">
        <fgColor rgb="00F7F8F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5" fillId="0" borderId="0" pivotButton="0" quotePrefix="0" xfId="0"/>
    <xf numFmtId="0" fontId="0" fillId="3" borderId="0" pivotButton="0" quotePrefix="0" xfId="0"/>
    <xf numFmtId="164" fontId="0" fillId="3" borderId="0" pivotButton="0" quotePrefix="0" xfId="0"/>
    <xf numFmtId="0" fontId="4" fillId="2" borderId="0" applyAlignment="1" pivotButton="0" quotePrefix="0" xfId="0">
      <alignment vertical="center" wrapText="1"/>
    </xf>
    <xf numFmtId="164" fontId="0" fillId="0" borderId="0" pivotButton="0" quotePrefix="0" xfId="0"/>
    <xf numFmtId="165" fontId="0" fillId="0" borderId="0" pivotButton="0" quotePrefix="0" xfId="0"/>
  </cellXfs>
  <cellStyles count="1">
    <cellStyle name="Normal" xfId="0" builtinId="0" hidden="0"/>
  </cellStyles>
  <dxfs count="2">
    <dxf>
      <fill>
        <patternFill patternType="solid">
          <fgColor rgb="00F6D5D0"/>
        </patternFill>
      </fill>
    </dxf>
    <dxf>
      <fill>
        <patternFill patternType="solid">
          <fgColor rgb="00FBEBC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5AD2D"/>
    <outlinePr summaryBelow="1" summaryRight="1"/>
    <pageSetUpPr/>
  </sheetPr>
  <dimension ref="A1:A18"/>
  <sheetViews>
    <sheetView workbookViewId="0">
      <selection activeCell="A1" sqref="A1"/>
    </sheetView>
  </sheetViews>
  <sheetFormatPr baseColWidth="8" defaultRowHeight="15"/>
  <cols>
    <col width="100" customWidth="1" min="1" max="1"/>
  </cols>
  <sheetData>
    <row r="1">
      <c r="A1" s="1" t="inlineStr">
        <is>
          <t>Character &amp; fitness kit</t>
        </is>
      </c>
    </row>
    <row r="2">
      <c r="A2" s="2" t="inlineStr">
        <is>
          <t>Version 0.1, from LITSA at Suffolk Law. github.com/suffolklitsa/suffolk-guides</t>
        </is>
      </c>
    </row>
    <row r="3">
      <c r="A3" s="3" t="inlineStr"/>
    </row>
    <row r="4">
      <c r="A4" s="4" t="inlineStr">
        <is>
          <t>What this is</t>
        </is>
      </c>
    </row>
    <row r="5">
      <c r="A5" s="3" t="inlineStr">
        <is>
          <t>Bar applications ask for every address, job, school, legal matter and financial problem going back years. Filling this in as you go means you won't be rebuilding a decade from memory in 3L year.</t>
        </is>
      </c>
    </row>
    <row r="6">
      <c r="A6" s="3" t="inlineStr"/>
    </row>
    <row r="7">
      <c r="A7" s="4" t="inlineStr">
        <is>
          <t>Your information stays with you</t>
        </is>
      </c>
    </row>
    <row r="8">
      <c r="A8" s="3" t="inlineStr">
        <is>
          <t>This file lives wherever you save it. LITSA never sees it. Don't email it around or upload it to shared folders; keep it somewhere private and backed up.</t>
        </is>
      </c>
    </row>
    <row r="9">
      <c r="A9" s="3" t="inlineStr"/>
    </row>
    <row r="10">
      <c r="A10" s="4" t="inlineStr">
        <is>
          <t>How to use it</t>
        </is>
      </c>
    </row>
    <row r="11">
      <c r="A11" s="3" t="inlineStr">
        <is>
          <t>1. Fill in each tab, oldest entries first. Gray columns calculate themselves; don't type in them.</t>
        </is>
      </c>
    </row>
    <row r="12">
      <c r="A12" s="3" t="inlineStr">
        <is>
          <t>2. Check the Dashboard. Red numbers are gaps or items that need an explanation.</t>
        </is>
      </c>
    </row>
    <row r="13">
      <c r="A13" s="3" t="inlineStr">
        <is>
          <t>3. On Law School App Check, compare your law school application answers with your records. Anything marked Amend goes to the Dean of Students before you file for the bar.</t>
        </is>
      </c>
    </row>
    <row r="14">
      <c r="A14" s="3" t="inlineStr">
        <is>
          <t>4. Request documents early on the Documents tab; requests over 30 days old turn amber.</t>
        </is>
      </c>
    </row>
    <row r="15">
      <c r="A15" s="3" t="inlineStr">
        <is>
          <t>5. Add a line to the Change Log each time you update. Review every semester.</t>
        </is>
      </c>
    </row>
    <row r="16">
      <c r="A16" s="3" t="inlineStr"/>
    </row>
    <row r="17">
      <c r="A17" s="4" t="inlineStr">
        <is>
          <t>This is not legal advice</t>
        </is>
      </c>
    </row>
    <row r="18">
      <c r="A18" s="3" t="inlineStr">
        <is>
          <t>Each jurisdiction asks different questions. Always answer the questions on the actual application, completely and truthfully, and ask the Dean of Students or the bar examiners if you're unsure whether something must be disclosed.</t>
        </is>
      </c>
    </row>
  </sheetData>
  <pageMargins left="0.75" right="0.75" top="1" bottom="1" header="0.5" footer="0.5"/>
</worksheet>
</file>

<file path=xl/worksheets/sheet2.xml><?xml version="1.0" encoding="utf-8"?>
<worksheet xmlns="http://schemas.openxmlformats.org/spreadsheetml/2006/main">
  <sheetPr>
    <tabColor rgb="00E5AD2D"/>
    <outlinePr summaryBelow="1" summaryRight="1"/>
    <pageSetUpPr/>
  </sheetPr>
  <dimension ref="A1:B14"/>
  <sheetViews>
    <sheetView workbookViewId="0">
      <selection activeCell="A1" sqref="A1"/>
    </sheetView>
  </sheetViews>
  <sheetFormatPr baseColWidth="8" defaultRowHeight="15"/>
  <cols>
    <col width="36" customWidth="1" min="1" max="1"/>
    <col width="14" customWidth="1" min="2" max="2"/>
  </cols>
  <sheetData>
    <row r="1">
      <c r="A1" s="5" t="inlineStr">
        <is>
          <t>Where things stand</t>
        </is>
      </c>
      <c r="B1" t="inlineStr"/>
    </row>
    <row r="2">
      <c r="A2" t="inlineStr">
        <is>
          <t>Addresses entered</t>
        </is>
      </c>
      <c r="B2" s="6">
        <f>COUNTA(Residences!A2:A61)</f>
        <v/>
      </c>
    </row>
    <row r="3">
      <c r="A3" t="inlineStr">
        <is>
          <t>Address gaps over 30 days</t>
        </is>
      </c>
      <c r="B3" s="6">
        <f>COUNTIF(Residences!L3:L61,"&gt;30")</f>
        <v/>
      </c>
    </row>
    <row r="4">
      <c r="A4" t="inlineStr">
        <is>
          <t>Jobs and gaps entered</t>
        </is>
      </c>
      <c r="B4" s="6">
        <f>COUNTA(Employment!A2:A61)</f>
        <v/>
      </c>
    </row>
    <row r="5">
      <c r="A5" t="inlineStr">
        <is>
          <t>Employment gaps over 30 days</t>
        </is>
      </c>
      <c r="B5" s="6">
        <f>COUNTIF(Employment!M3:M61,"&gt;30")</f>
        <v/>
      </c>
    </row>
    <row r="6">
      <c r="A6" t="inlineStr">
        <is>
          <t>Jobs that need an explanation</t>
        </is>
      </c>
      <c r="B6" s="6">
        <f>COUNTIF(Employment!K2:K61,"Yes")</f>
        <v/>
      </c>
    </row>
    <row r="7">
      <c r="A7" t="inlineStr">
        <is>
          <t>Schools entered</t>
        </is>
      </c>
      <c r="B7" s="6">
        <f>COUNTA(Education!A2:A61)</f>
        <v/>
      </c>
    </row>
    <row r="8">
      <c r="A8" t="inlineStr">
        <is>
          <t>Legal matters entered</t>
        </is>
      </c>
      <c r="B8" s="6">
        <f>COUNTA('Legal Matters'!A2:A61)</f>
        <v/>
      </c>
    </row>
    <row r="9">
      <c r="A9" t="inlineStr">
        <is>
          <t>Financial items not yet resolved</t>
        </is>
      </c>
      <c r="B9" s="6">
        <f>COUNTIFS(Financial!A2:A61,"&lt;&gt;",Financial!F2:F61,"")</f>
        <v/>
      </c>
    </row>
    <row r="10">
      <c r="A10" t="inlineStr">
        <is>
          <t>References who agreed</t>
        </is>
      </c>
      <c r="B10" s="6">
        <f>COUNTIF(References!G2:G61,"Yes")</f>
        <v/>
      </c>
    </row>
    <row r="11">
      <c r="A11" t="inlineStr">
        <is>
          <t>Law school answers to amend</t>
        </is>
      </c>
      <c r="B11" s="6">
        <f>COUNTIF('Law School App Check'!D2:D61,"Amend")</f>
        <v/>
      </c>
    </row>
    <row r="12">
      <c r="A12" t="inlineStr">
        <is>
          <t>Documents still outstanding</t>
        </is>
      </c>
      <c r="B12" s="6">
        <f>COUNTIF(Documents!E2:E61,"Requested")+COUNTIF(Documents!E2:E61,"Overdue")</f>
        <v/>
      </c>
    </row>
    <row r="13">
      <c r="A13" t="inlineStr">
        <is>
          <t>Last updated</t>
        </is>
      </c>
      <c r="B13" s="7">
        <f>IF(COUNT('Change Log'!A2:A61)=0,"",MAX('Change Log'!A2:A61))</f>
        <v/>
      </c>
    </row>
    <row r="14">
      <c r="A14" t="inlineStr">
        <is>
          <t>Next review due</t>
        </is>
      </c>
      <c r="B14" s="7">
        <f>IF(B13="","",B13+120)</f>
        <v/>
      </c>
    </row>
  </sheetData>
  <conditionalFormatting sqref="B3">
    <cfRule type="cellIs" priority="1" operator="greaterThan" dxfId="0">
      <formula>0</formula>
    </cfRule>
  </conditionalFormatting>
  <conditionalFormatting sqref="B5">
    <cfRule type="cellIs" priority="2" operator="greaterThan" dxfId="0">
      <formula>0</formula>
    </cfRule>
  </conditionalFormatting>
  <conditionalFormatting sqref="B6">
    <cfRule type="cellIs" priority="3" operator="greaterThan" dxfId="0">
      <formula>0</formula>
    </cfRule>
  </conditionalFormatting>
  <conditionalFormatting sqref="B9">
    <cfRule type="cellIs" priority="4" operator="greaterThan" dxfId="0">
      <formula>0</formula>
    </cfRule>
  </conditionalFormatting>
  <conditionalFormatting sqref="B11">
    <cfRule type="cellIs" priority="5" operator="greaterThan" dxfId="0">
      <formula>0</formula>
    </cfRule>
  </conditionalFormatting>
  <conditionalFormatting sqref="B12">
    <cfRule type="cellIs" priority="6" operator="greaterThan" dxfId="1">
      <formula>0</formula>
    </cfRule>
  </conditionalFormatting>
  <pageMargins left="0.75" right="0.75" top="1" bottom="1" header="0.5" footer="0.5"/>
</worksheet>
</file>

<file path=xl/worksheets/sheet3.xml><?xml version="1.0" encoding="utf-8"?>
<worksheet xmlns="http://schemas.openxmlformats.org/spreadsheetml/2006/main">
  <sheetPr>
    <tabColor rgb="001769E0"/>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0" customWidth="1" min="3" max="3"/>
    <col width="8" customWidth="1" min="4" max="4"/>
    <col width="16" customWidth="1" min="5" max="5"/>
    <col width="8" customWidth="1" min="6" max="6"/>
    <col width="9" customWidth="1" min="7" max="7"/>
    <col width="12" customWidth="1" min="8" max="8"/>
    <col width="18" customWidth="1" min="9" max="9"/>
    <col width="24" customWidth="1" min="10" max="10"/>
    <col width="30" customWidth="1" min="11" max="11"/>
    <col width="14" customWidth="1" min="12" max="12"/>
  </cols>
  <sheetData>
    <row r="1" ht="34" customHeight="1">
      <c r="A1" s="8" t="inlineStr">
        <is>
          <t>From</t>
        </is>
      </c>
      <c r="B1" s="8" t="inlineStr">
        <is>
          <t>To</t>
        </is>
      </c>
      <c r="C1" s="8" t="inlineStr">
        <is>
          <t>Street address</t>
        </is>
      </c>
      <c r="D1" s="8" t="inlineStr">
        <is>
          <t>Unit</t>
        </is>
      </c>
      <c r="E1" s="8" t="inlineStr">
        <is>
          <t>City</t>
        </is>
      </c>
      <c r="F1" s="8" t="inlineStr">
        <is>
          <t>State</t>
        </is>
      </c>
      <c r="G1" s="8" t="inlineStr">
        <is>
          <t>ZIP</t>
        </is>
      </c>
      <c r="H1" s="8" t="inlineStr">
        <is>
          <t>Country</t>
        </is>
      </c>
      <c r="I1" s="8" t="inlineStr">
        <is>
          <t>Lived with</t>
        </is>
      </c>
      <c r="J1" s="8" t="inlineStr">
        <is>
          <t>Landlord or contact</t>
        </is>
      </c>
      <c r="K1" s="8" t="inlineStr">
        <is>
          <t>Notes</t>
        </is>
      </c>
      <c r="L1" s="8" t="inlineStr">
        <is>
          <t>Days since previous address</t>
        </is>
      </c>
    </row>
    <row r="2">
      <c r="A2" s="9" t="n"/>
      <c r="B2" s="9" t="n"/>
      <c r="C2" s="3" t="n"/>
      <c r="K2" s="3" t="n"/>
    </row>
    <row r="3">
      <c r="A3" s="9" t="n"/>
      <c r="B3" s="9" t="n"/>
      <c r="C3" s="3" t="n"/>
      <c r="K3" s="3" t="n"/>
      <c r="L3" s="6">
        <f>IF(AND(A3&lt;&gt;"",B2&lt;&gt;""),A3-B2-1,"")</f>
        <v/>
      </c>
    </row>
    <row r="4">
      <c r="A4" s="9" t="n"/>
      <c r="B4" s="9" t="n"/>
      <c r="C4" s="3" t="n"/>
      <c r="K4" s="3" t="n"/>
      <c r="L4" s="6">
        <f>IF(AND(A4&lt;&gt;"",B3&lt;&gt;""),A4-B3-1,"")</f>
        <v/>
      </c>
    </row>
    <row r="5">
      <c r="A5" s="9" t="n"/>
      <c r="B5" s="9" t="n"/>
      <c r="C5" s="3" t="n"/>
      <c r="K5" s="3" t="n"/>
      <c r="L5" s="6">
        <f>IF(AND(A5&lt;&gt;"",B4&lt;&gt;""),A5-B4-1,"")</f>
        <v/>
      </c>
    </row>
    <row r="6">
      <c r="A6" s="9" t="n"/>
      <c r="B6" s="9" t="n"/>
      <c r="C6" s="3" t="n"/>
      <c r="K6" s="3" t="n"/>
      <c r="L6" s="6">
        <f>IF(AND(A6&lt;&gt;"",B5&lt;&gt;""),A6-B5-1,"")</f>
        <v/>
      </c>
    </row>
    <row r="7">
      <c r="A7" s="9" t="n"/>
      <c r="B7" s="9" t="n"/>
      <c r="C7" s="3" t="n"/>
      <c r="K7" s="3" t="n"/>
      <c r="L7" s="6">
        <f>IF(AND(A7&lt;&gt;"",B6&lt;&gt;""),A7-B6-1,"")</f>
        <v/>
      </c>
    </row>
    <row r="8">
      <c r="A8" s="9" t="n"/>
      <c r="B8" s="9" t="n"/>
      <c r="C8" s="3" t="n"/>
      <c r="K8" s="3" t="n"/>
      <c r="L8" s="6">
        <f>IF(AND(A8&lt;&gt;"",B7&lt;&gt;""),A8-B7-1,"")</f>
        <v/>
      </c>
    </row>
    <row r="9">
      <c r="A9" s="9" t="n"/>
      <c r="B9" s="9" t="n"/>
      <c r="C9" s="3" t="n"/>
      <c r="K9" s="3" t="n"/>
      <c r="L9" s="6">
        <f>IF(AND(A9&lt;&gt;"",B8&lt;&gt;""),A9-B8-1,"")</f>
        <v/>
      </c>
    </row>
    <row r="10">
      <c r="A10" s="9" t="n"/>
      <c r="B10" s="9" t="n"/>
      <c r="C10" s="3" t="n"/>
      <c r="K10" s="3" t="n"/>
      <c r="L10" s="6">
        <f>IF(AND(A10&lt;&gt;"",B9&lt;&gt;""),A10-B9-1,"")</f>
        <v/>
      </c>
    </row>
    <row r="11">
      <c r="A11" s="9" t="n"/>
      <c r="B11" s="9" t="n"/>
      <c r="C11" s="3" t="n"/>
      <c r="K11" s="3" t="n"/>
      <c r="L11" s="6">
        <f>IF(AND(A11&lt;&gt;"",B10&lt;&gt;""),A11-B10-1,"")</f>
        <v/>
      </c>
    </row>
    <row r="12">
      <c r="A12" s="9" t="n"/>
      <c r="B12" s="9" t="n"/>
      <c r="C12" s="3" t="n"/>
      <c r="K12" s="3" t="n"/>
      <c r="L12" s="6">
        <f>IF(AND(A12&lt;&gt;"",B11&lt;&gt;""),A12-B11-1,"")</f>
        <v/>
      </c>
    </row>
    <row r="13">
      <c r="A13" s="9" t="n"/>
      <c r="B13" s="9" t="n"/>
      <c r="C13" s="3" t="n"/>
      <c r="K13" s="3" t="n"/>
      <c r="L13" s="6">
        <f>IF(AND(A13&lt;&gt;"",B12&lt;&gt;""),A13-B12-1,"")</f>
        <v/>
      </c>
    </row>
    <row r="14">
      <c r="A14" s="9" t="n"/>
      <c r="B14" s="9" t="n"/>
      <c r="C14" s="3" t="n"/>
      <c r="K14" s="3" t="n"/>
      <c r="L14" s="6">
        <f>IF(AND(A14&lt;&gt;"",B13&lt;&gt;""),A14-B13-1,"")</f>
        <v/>
      </c>
    </row>
    <row r="15">
      <c r="A15" s="9" t="n"/>
      <c r="B15" s="9" t="n"/>
      <c r="C15" s="3" t="n"/>
      <c r="K15" s="3" t="n"/>
      <c r="L15" s="6">
        <f>IF(AND(A15&lt;&gt;"",B14&lt;&gt;""),A15-B14-1,"")</f>
        <v/>
      </c>
    </row>
    <row r="16">
      <c r="A16" s="9" t="n"/>
      <c r="B16" s="9" t="n"/>
      <c r="C16" s="3" t="n"/>
      <c r="K16" s="3" t="n"/>
      <c r="L16" s="6">
        <f>IF(AND(A16&lt;&gt;"",B15&lt;&gt;""),A16-B15-1,"")</f>
        <v/>
      </c>
    </row>
    <row r="17">
      <c r="A17" s="9" t="n"/>
      <c r="B17" s="9" t="n"/>
      <c r="C17" s="3" t="n"/>
      <c r="K17" s="3" t="n"/>
      <c r="L17" s="6">
        <f>IF(AND(A17&lt;&gt;"",B16&lt;&gt;""),A17-B16-1,"")</f>
        <v/>
      </c>
    </row>
    <row r="18">
      <c r="A18" s="9" t="n"/>
      <c r="B18" s="9" t="n"/>
      <c r="C18" s="3" t="n"/>
      <c r="K18" s="3" t="n"/>
      <c r="L18" s="6">
        <f>IF(AND(A18&lt;&gt;"",B17&lt;&gt;""),A18-B17-1,"")</f>
        <v/>
      </c>
    </row>
    <row r="19">
      <c r="A19" s="9" t="n"/>
      <c r="B19" s="9" t="n"/>
      <c r="C19" s="3" t="n"/>
      <c r="K19" s="3" t="n"/>
      <c r="L19" s="6">
        <f>IF(AND(A19&lt;&gt;"",B18&lt;&gt;""),A19-B18-1,"")</f>
        <v/>
      </c>
    </row>
    <row r="20">
      <c r="A20" s="9" t="n"/>
      <c r="B20" s="9" t="n"/>
      <c r="C20" s="3" t="n"/>
      <c r="K20" s="3" t="n"/>
      <c r="L20" s="6">
        <f>IF(AND(A20&lt;&gt;"",B19&lt;&gt;""),A20-B19-1,"")</f>
        <v/>
      </c>
    </row>
    <row r="21">
      <c r="A21" s="9" t="n"/>
      <c r="B21" s="9" t="n"/>
      <c r="C21" s="3" t="n"/>
      <c r="K21" s="3" t="n"/>
      <c r="L21" s="6">
        <f>IF(AND(A21&lt;&gt;"",B20&lt;&gt;""),A21-B20-1,"")</f>
        <v/>
      </c>
    </row>
    <row r="22">
      <c r="A22" s="9" t="n"/>
      <c r="B22" s="9" t="n"/>
      <c r="C22" s="3" t="n"/>
      <c r="K22" s="3" t="n"/>
      <c r="L22" s="6">
        <f>IF(AND(A22&lt;&gt;"",B21&lt;&gt;""),A22-B21-1,"")</f>
        <v/>
      </c>
    </row>
    <row r="23">
      <c r="A23" s="9" t="n"/>
      <c r="B23" s="9" t="n"/>
      <c r="C23" s="3" t="n"/>
      <c r="K23" s="3" t="n"/>
      <c r="L23" s="6">
        <f>IF(AND(A23&lt;&gt;"",B22&lt;&gt;""),A23-B22-1,"")</f>
        <v/>
      </c>
    </row>
    <row r="24">
      <c r="A24" s="9" t="n"/>
      <c r="B24" s="9" t="n"/>
      <c r="C24" s="3" t="n"/>
      <c r="K24" s="3" t="n"/>
      <c r="L24" s="6">
        <f>IF(AND(A24&lt;&gt;"",B23&lt;&gt;""),A24-B23-1,"")</f>
        <v/>
      </c>
    </row>
    <row r="25">
      <c r="A25" s="9" t="n"/>
      <c r="B25" s="9" t="n"/>
      <c r="C25" s="3" t="n"/>
      <c r="K25" s="3" t="n"/>
      <c r="L25" s="6">
        <f>IF(AND(A25&lt;&gt;"",B24&lt;&gt;""),A25-B24-1,"")</f>
        <v/>
      </c>
    </row>
    <row r="26">
      <c r="A26" s="9" t="n"/>
      <c r="B26" s="9" t="n"/>
      <c r="C26" s="3" t="n"/>
      <c r="K26" s="3" t="n"/>
      <c r="L26" s="6">
        <f>IF(AND(A26&lt;&gt;"",B25&lt;&gt;""),A26-B25-1,"")</f>
        <v/>
      </c>
    </row>
    <row r="27">
      <c r="A27" s="9" t="n"/>
      <c r="B27" s="9" t="n"/>
      <c r="C27" s="3" t="n"/>
      <c r="K27" s="3" t="n"/>
      <c r="L27" s="6">
        <f>IF(AND(A27&lt;&gt;"",B26&lt;&gt;""),A27-B26-1,"")</f>
        <v/>
      </c>
    </row>
    <row r="28">
      <c r="A28" s="9" t="n"/>
      <c r="B28" s="9" t="n"/>
      <c r="C28" s="3" t="n"/>
      <c r="K28" s="3" t="n"/>
      <c r="L28" s="6">
        <f>IF(AND(A28&lt;&gt;"",B27&lt;&gt;""),A28-B27-1,"")</f>
        <v/>
      </c>
    </row>
    <row r="29">
      <c r="A29" s="9" t="n"/>
      <c r="B29" s="9" t="n"/>
      <c r="C29" s="3" t="n"/>
      <c r="K29" s="3" t="n"/>
      <c r="L29" s="6">
        <f>IF(AND(A29&lt;&gt;"",B28&lt;&gt;""),A29-B28-1,"")</f>
        <v/>
      </c>
    </row>
    <row r="30">
      <c r="A30" s="9" t="n"/>
      <c r="B30" s="9" t="n"/>
      <c r="C30" s="3" t="n"/>
      <c r="K30" s="3" t="n"/>
      <c r="L30" s="6">
        <f>IF(AND(A30&lt;&gt;"",B29&lt;&gt;""),A30-B29-1,"")</f>
        <v/>
      </c>
    </row>
    <row r="31">
      <c r="A31" s="9" t="n"/>
      <c r="B31" s="9" t="n"/>
      <c r="C31" s="3" t="n"/>
      <c r="K31" s="3" t="n"/>
      <c r="L31" s="6">
        <f>IF(AND(A31&lt;&gt;"",B30&lt;&gt;""),A31-B30-1,"")</f>
        <v/>
      </c>
    </row>
    <row r="32">
      <c r="A32" s="9" t="n"/>
      <c r="B32" s="9" t="n"/>
      <c r="C32" s="3" t="n"/>
      <c r="K32" s="3" t="n"/>
      <c r="L32" s="6">
        <f>IF(AND(A32&lt;&gt;"",B31&lt;&gt;""),A32-B31-1,"")</f>
        <v/>
      </c>
    </row>
    <row r="33">
      <c r="A33" s="9" t="n"/>
      <c r="B33" s="9" t="n"/>
      <c r="C33" s="3" t="n"/>
      <c r="K33" s="3" t="n"/>
      <c r="L33" s="6">
        <f>IF(AND(A33&lt;&gt;"",B32&lt;&gt;""),A33-B32-1,"")</f>
        <v/>
      </c>
    </row>
    <row r="34">
      <c r="A34" s="9" t="n"/>
      <c r="B34" s="9" t="n"/>
      <c r="C34" s="3" t="n"/>
      <c r="K34" s="3" t="n"/>
      <c r="L34" s="6">
        <f>IF(AND(A34&lt;&gt;"",B33&lt;&gt;""),A34-B33-1,"")</f>
        <v/>
      </c>
    </row>
    <row r="35">
      <c r="A35" s="9" t="n"/>
      <c r="B35" s="9" t="n"/>
      <c r="C35" s="3" t="n"/>
      <c r="K35" s="3" t="n"/>
      <c r="L35" s="6">
        <f>IF(AND(A35&lt;&gt;"",B34&lt;&gt;""),A35-B34-1,"")</f>
        <v/>
      </c>
    </row>
    <row r="36">
      <c r="A36" s="9" t="n"/>
      <c r="B36" s="9" t="n"/>
      <c r="C36" s="3" t="n"/>
      <c r="K36" s="3" t="n"/>
      <c r="L36" s="6">
        <f>IF(AND(A36&lt;&gt;"",B35&lt;&gt;""),A36-B35-1,"")</f>
        <v/>
      </c>
    </row>
    <row r="37">
      <c r="A37" s="9" t="n"/>
      <c r="B37" s="9" t="n"/>
      <c r="C37" s="3" t="n"/>
      <c r="K37" s="3" t="n"/>
      <c r="L37" s="6">
        <f>IF(AND(A37&lt;&gt;"",B36&lt;&gt;""),A37-B36-1,"")</f>
        <v/>
      </c>
    </row>
    <row r="38">
      <c r="A38" s="9" t="n"/>
      <c r="B38" s="9" t="n"/>
      <c r="C38" s="3" t="n"/>
      <c r="K38" s="3" t="n"/>
      <c r="L38" s="6">
        <f>IF(AND(A38&lt;&gt;"",B37&lt;&gt;""),A38-B37-1,"")</f>
        <v/>
      </c>
    </row>
    <row r="39">
      <c r="A39" s="9" t="n"/>
      <c r="B39" s="9" t="n"/>
      <c r="C39" s="3" t="n"/>
      <c r="K39" s="3" t="n"/>
      <c r="L39" s="6">
        <f>IF(AND(A39&lt;&gt;"",B38&lt;&gt;""),A39-B38-1,"")</f>
        <v/>
      </c>
    </row>
    <row r="40">
      <c r="A40" s="9" t="n"/>
      <c r="B40" s="9" t="n"/>
      <c r="C40" s="3" t="n"/>
      <c r="K40" s="3" t="n"/>
      <c r="L40" s="6">
        <f>IF(AND(A40&lt;&gt;"",B39&lt;&gt;""),A40-B39-1,"")</f>
        <v/>
      </c>
    </row>
    <row r="41">
      <c r="A41" s="9" t="n"/>
      <c r="B41" s="9" t="n"/>
      <c r="C41" s="3" t="n"/>
      <c r="K41" s="3" t="n"/>
      <c r="L41" s="6">
        <f>IF(AND(A41&lt;&gt;"",B40&lt;&gt;""),A41-B40-1,"")</f>
        <v/>
      </c>
    </row>
    <row r="42">
      <c r="A42" s="9" t="n"/>
      <c r="B42" s="9" t="n"/>
      <c r="C42" s="3" t="n"/>
      <c r="K42" s="3" t="n"/>
      <c r="L42" s="6">
        <f>IF(AND(A42&lt;&gt;"",B41&lt;&gt;""),A42-B41-1,"")</f>
        <v/>
      </c>
    </row>
    <row r="43">
      <c r="A43" s="9" t="n"/>
      <c r="B43" s="9" t="n"/>
      <c r="C43" s="3" t="n"/>
      <c r="K43" s="3" t="n"/>
      <c r="L43" s="6">
        <f>IF(AND(A43&lt;&gt;"",B42&lt;&gt;""),A43-B42-1,"")</f>
        <v/>
      </c>
    </row>
    <row r="44">
      <c r="A44" s="9" t="n"/>
      <c r="B44" s="9" t="n"/>
      <c r="C44" s="3" t="n"/>
      <c r="K44" s="3" t="n"/>
      <c r="L44" s="6">
        <f>IF(AND(A44&lt;&gt;"",B43&lt;&gt;""),A44-B43-1,"")</f>
        <v/>
      </c>
    </row>
    <row r="45">
      <c r="A45" s="9" t="n"/>
      <c r="B45" s="9" t="n"/>
      <c r="C45" s="3" t="n"/>
      <c r="K45" s="3" t="n"/>
      <c r="L45" s="6">
        <f>IF(AND(A45&lt;&gt;"",B44&lt;&gt;""),A45-B44-1,"")</f>
        <v/>
      </c>
    </row>
    <row r="46">
      <c r="A46" s="9" t="n"/>
      <c r="B46" s="9" t="n"/>
      <c r="C46" s="3" t="n"/>
      <c r="K46" s="3" t="n"/>
      <c r="L46" s="6">
        <f>IF(AND(A46&lt;&gt;"",B45&lt;&gt;""),A46-B45-1,"")</f>
        <v/>
      </c>
    </row>
    <row r="47">
      <c r="A47" s="9" t="n"/>
      <c r="B47" s="9" t="n"/>
      <c r="C47" s="3" t="n"/>
      <c r="K47" s="3" t="n"/>
      <c r="L47" s="6">
        <f>IF(AND(A47&lt;&gt;"",B46&lt;&gt;""),A47-B46-1,"")</f>
        <v/>
      </c>
    </row>
    <row r="48">
      <c r="A48" s="9" t="n"/>
      <c r="B48" s="9" t="n"/>
      <c r="C48" s="3" t="n"/>
      <c r="K48" s="3" t="n"/>
      <c r="L48" s="6">
        <f>IF(AND(A48&lt;&gt;"",B47&lt;&gt;""),A48-B47-1,"")</f>
        <v/>
      </c>
    </row>
    <row r="49">
      <c r="A49" s="9" t="n"/>
      <c r="B49" s="9" t="n"/>
      <c r="C49" s="3" t="n"/>
      <c r="K49" s="3" t="n"/>
      <c r="L49" s="6">
        <f>IF(AND(A49&lt;&gt;"",B48&lt;&gt;""),A49-B48-1,"")</f>
        <v/>
      </c>
    </row>
    <row r="50">
      <c r="A50" s="9" t="n"/>
      <c r="B50" s="9" t="n"/>
      <c r="C50" s="3" t="n"/>
      <c r="K50" s="3" t="n"/>
      <c r="L50" s="6">
        <f>IF(AND(A50&lt;&gt;"",B49&lt;&gt;""),A50-B49-1,"")</f>
        <v/>
      </c>
    </row>
    <row r="51">
      <c r="A51" s="9" t="n"/>
      <c r="B51" s="9" t="n"/>
      <c r="C51" s="3" t="n"/>
      <c r="K51" s="3" t="n"/>
      <c r="L51" s="6">
        <f>IF(AND(A51&lt;&gt;"",B50&lt;&gt;""),A51-B50-1,"")</f>
        <v/>
      </c>
    </row>
    <row r="52">
      <c r="A52" s="9" t="n"/>
      <c r="B52" s="9" t="n"/>
      <c r="C52" s="3" t="n"/>
      <c r="K52" s="3" t="n"/>
      <c r="L52" s="6">
        <f>IF(AND(A52&lt;&gt;"",B51&lt;&gt;""),A52-B51-1,"")</f>
        <v/>
      </c>
    </row>
    <row r="53">
      <c r="A53" s="9" t="n"/>
      <c r="B53" s="9" t="n"/>
      <c r="C53" s="3" t="n"/>
      <c r="K53" s="3" t="n"/>
      <c r="L53" s="6">
        <f>IF(AND(A53&lt;&gt;"",B52&lt;&gt;""),A53-B52-1,"")</f>
        <v/>
      </c>
    </row>
    <row r="54">
      <c r="A54" s="9" t="n"/>
      <c r="B54" s="9" t="n"/>
      <c r="C54" s="3" t="n"/>
      <c r="K54" s="3" t="n"/>
      <c r="L54" s="6">
        <f>IF(AND(A54&lt;&gt;"",B53&lt;&gt;""),A54-B53-1,"")</f>
        <v/>
      </c>
    </row>
    <row r="55">
      <c r="A55" s="9" t="n"/>
      <c r="B55" s="9" t="n"/>
      <c r="C55" s="3" t="n"/>
      <c r="K55" s="3" t="n"/>
      <c r="L55" s="6">
        <f>IF(AND(A55&lt;&gt;"",B54&lt;&gt;""),A55-B54-1,"")</f>
        <v/>
      </c>
    </row>
    <row r="56">
      <c r="A56" s="9" t="n"/>
      <c r="B56" s="9" t="n"/>
      <c r="C56" s="3" t="n"/>
      <c r="K56" s="3" t="n"/>
      <c r="L56" s="6">
        <f>IF(AND(A56&lt;&gt;"",B55&lt;&gt;""),A56-B55-1,"")</f>
        <v/>
      </c>
    </row>
    <row r="57">
      <c r="A57" s="9" t="n"/>
      <c r="B57" s="9" t="n"/>
      <c r="C57" s="3" t="n"/>
      <c r="K57" s="3" t="n"/>
      <c r="L57" s="6">
        <f>IF(AND(A57&lt;&gt;"",B56&lt;&gt;""),A57-B56-1,"")</f>
        <v/>
      </c>
    </row>
    <row r="58">
      <c r="A58" s="9" t="n"/>
      <c r="B58" s="9" t="n"/>
      <c r="C58" s="3" t="n"/>
      <c r="K58" s="3" t="n"/>
      <c r="L58" s="6">
        <f>IF(AND(A58&lt;&gt;"",B57&lt;&gt;""),A58-B57-1,"")</f>
        <v/>
      </c>
    </row>
    <row r="59">
      <c r="A59" s="9" t="n"/>
      <c r="B59" s="9" t="n"/>
      <c r="C59" s="3" t="n"/>
      <c r="K59" s="3" t="n"/>
      <c r="L59" s="6">
        <f>IF(AND(A59&lt;&gt;"",B58&lt;&gt;""),A59-B58-1,"")</f>
        <v/>
      </c>
    </row>
    <row r="60">
      <c r="A60" s="9" t="n"/>
      <c r="B60" s="9" t="n"/>
      <c r="C60" s="3" t="n"/>
      <c r="K60" s="3" t="n"/>
      <c r="L60" s="6">
        <f>IF(AND(A60&lt;&gt;"",B59&lt;&gt;""),A60-B59-1,"")</f>
        <v/>
      </c>
    </row>
    <row r="61">
      <c r="A61" s="9" t="n"/>
      <c r="B61" s="9" t="n"/>
      <c r="C61" s="3" t="n"/>
      <c r="K61" s="3" t="n"/>
      <c r="L61" s="6">
        <f>IF(AND(A61&lt;&gt;"",B60&lt;&gt;""),A61-B60-1,"")</f>
        <v/>
      </c>
    </row>
  </sheetData>
  <conditionalFormatting sqref="L2:L61">
    <cfRule type="cellIs" priority="1" operator="greaterThan" dxfId="0">
      <formula>30</formula>
    </cfRule>
  </conditionalFormatting>
  <dataValidations count="2">
    <dataValidation sqref="A2:A61" showDropDown="0" showInputMessage="0" showErrorMessage="0" allowBlank="1" errorTitle="Date" error="Enter a date, for example 2024-09-01." type="date" operator="greaterThan">
      <formula1>DATE(1950,1,1)</formula1>
    </dataValidation>
    <dataValidation sqref="B2:B61" showDropDown="0" showInputMessage="0" showErrorMessage="0" allowBlank="1" errorTitle="Date" error="Enter a date, for example 2024-09-01." type="date" operator="greaterThan">
      <formula1>DATE(1950,1,1)</formula1>
    </dataValidation>
  </dataValidations>
  <pageMargins left="0.75" right="0.75" top="1" bottom="1" header="0.5" footer="0.5"/>
</worksheet>
</file>

<file path=xl/worksheets/sheet4.xml><?xml version="1.0" encoding="utf-8"?>
<worksheet xmlns="http://schemas.openxmlformats.org/spreadsheetml/2006/main">
  <sheetPr>
    <tabColor rgb="001769E0"/>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28" customWidth="1" min="4" max="4"/>
    <col width="20" customWidth="1" min="5" max="5"/>
    <col width="15" customWidth="1" min="6" max="6"/>
    <col width="24" customWidth="1" min="7" max="7"/>
    <col width="20" customWidth="1" min="8" max="8"/>
    <col width="14" customWidth="1" min="9" max="9"/>
    <col width="20" customWidth="1" min="10" max="10"/>
    <col width="12" customWidth="1" min="11" max="11"/>
    <col width="34" customWidth="1" min="12" max="12"/>
    <col width="14" customWidth="1" min="13" max="13"/>
  </cols>
  <sheetData>
    <row r="1" ht="34" customHeight="1">
      <c r="A1" s="8" t="inlineStr">
        <is>
          <t>From</t>
        </is>
      </c>
      <c r="B1" s="8" t="inlineStr">
        <is>
          <t>To</t>
        </is>
      </c>
      <c r="C1" s="8" t="inlineStr">
        <is>
          <t>Employer (or "Unemployed")</t>
        </is>
      </c>
      <c r="D1" s="8" t="inlineStr">
        <is>
          <t>Employer address</t>
        </is>
      </c>
      <c r="E1" s="8" t="inlineStr">
        <is>
          <t>Supervisor</t>
        </is>
      </c>
      <c r="F1" s="8" t="inlineStr">
        <is>
          <t>Supervisor phone</t>
        </is>
      </c>
      <c r="G1" s="8" t="inlineStr">
        <is>
          <t>Supervisor email</t>
        </is>
      </c>
      <c r="H1" s="8" t="inlineStr">
        <is>
          <t>Title</t>
        </is>
      </c>
      <c r="I1" s="8" t="inlineStr">
        <is>
          <t>Hours</t>
        </is>
      </c>
      <c r="J1" s="8" t="inlineStr">
        <is>
          <t>Reason for leaving</t>
        </is>
      </c>
      <c r="K1" s="8" t="inlineStr">
        <is>
          <t>Needs explanation</t>
        </is>
      </c>
      <c r="L1" s="8" t="inlineStr">
        <is>
          <t>Explanation or notes</t>
        </is>
      </c>
      <c r="M1" s="8" t="inlineStr">
        <is>
          <t>Days since previous job</t>
        </is>
      </c>
    </row>
    <row r="2">
      <c r="A2" s="9" t="n"/>
      <c r="B2" s="9" t="n"/>
      <c r="C2" s="3" t="n"/>
      <c r="D2" s="3" t="n"/>
      <c r="K2" s="6">
        <f>IF(OR(J2="Terminated",J2="Asked to resign"),"Yes","")</f>
        <v/>
      </c>
      <c r="L2" s="3" t="n"/>
    </row>
    <row r="3">
      <c r="A3" s="9" t="n"/>
      <c r="B3" s="9" t="n"/>
      <c r="C3" s="3" t="n"/>
      <c r="D3" s="3" t="n"/>
      <c r="K3" s="6">
        <f>IF(OR(J3="Terminated",J3="Asked to resign"),"Yes","")</f>
        <v/>
      </c>
      <c r="L3" s="3" t="n"/>
      <c r="M3" s="6">
        <f>IF(AND(A3&lt;&gt;"",B2&lt;&gt;""),A3-B2-1,"")</f>
        <v/>
      </c>
    </row>
    <row r="4">
      <c r="A4" s="9" t="n"/>
      <c r="B4" s="9" t="n"/>
      <c r="C4" s="3" t="n"/>
      <c r="D4" s="3" t="n"/>
      <c r="K4" s="6">
        <f>IF(OR(J4="Terminated",J4="Asked to resign"),"Yes","")</f>
        <v/>
      </c>
      <c r="L4" s="3" t="n"/>
      <c r="M4" s="6">
        <f>IF(AND(A4&lt;&gt;"",B3&lt;&gt;""),A4-B3-1,"")</f>
        <v/>
      </c>
    </row>
    <row r="5">
      <c r="A5" s="9" t="n"/>
      <c r="B5" s="9" t="n"/>
      <c r="C5" s="3" t="n"/>
      <c r="D5" s="3" t="n"/>
      <c r="K5" s="6">
        <f>IF(OR(J5="Terminated",J5="Asked to resign"),"Yes","")</f>
        <v/>
      </c>
      <c r="L5" s="3" t="n"/>
      <c r="M5" s="6">
        <f>IF(AND(A5&lt;&gt;"",B4&lt;&gt;""),A5-B4-1,"")</f>
        <v/>
      </c>
    </row>
    <row r="6">
      <c r="A6" s="9" t="n"/>
      <c r="B6" s="9" t="n"/>
      <c r="C6" s="3" t="n"/>
      <c r="D6" s="3" t="n"/>
      <c r="K6" s="6">
        <f>IF(OR(J6="Terminated",J6="Asked to resign"),"Yes","")</f>
        <v/>
      </c>
      <c r="L6" s="3" t="n"/>
      <c r="M6" s="6">
        <f>IF(AND(A6&lt;&gt;"",B5&lt;&gt;""),A6-B5-1,"")</f>
        <v/>
      </c>
    </row>
    <row r="7">
      <c r="A7" s="9" t="n"/>
      <c r="B7" s="9" t="n"/>
      <c r="C7" s="3" t="n"/>
      <c r="D7" s="3" t="n"/>
      <c r="K7" s="6">
        <f>IF(OR(J7="Terminated",J7="Asked to resign"),"Yes","")</f>
        <v/>
      </c>
      <c r="L7" s="3" t="n"/>
      <c r="M7" s="6">
        <f>IF(AND(A7&lt;&gt;"",B6&lt;&gt;""),A7-B6-1,"")</f>
        <v/>
      </c>
    </row>
    <row r="8">
      <c r="A8" s="9" t="n"/>
      <c r="B8" s="9" t="n"/>
      <c r="C8" s="3" t="n"/>
      <c r="D8" s="3" t="n"/>
      <c r="K8" s="6">
        <f>IF(OR(J8="Terminated",J8="Asked to resign"),"Yes","")</f>
        <v/>
      </c>
      <c r="L8" s="3" t="n"/>
      <c r="M8" s="6">
        <f>IF(AND(A8&lt;&gt;"",B7&lt;&gt;""),A8-B7-1,"")</f>
        <v/>
      </c>
    </row>
    <row r="9">
      <c r="A9" s="9" t="n"/>
      <c r="B9" s="9" t="n"/>
      <c r="C9" s="3" t="n"/>
      <c r="D9" s="3" t="n"/>
      <c r="K9" s="6">
        <f>IF(OR(J9="Terminated",J9="Asked to resign"),"Yes","")</f>
        <v/>
      </c>
      <c r="L9" s="3" t="n"/>
      <c r="M9" s="6">
        <f>IF(AND(A9&lt;&gt;"",B8&lt;&gt;""),A9-B8-1,"")</f>
        <v/>
      </c>
    </row>
    <row r="10">
      <c r="A10" s="9" t="n"/>
      <c r="B10" s="9" t="n"/>
      <c r="C10" s="3" t="n"/>
      <c r="D10" s="3" t="n"/>
      <c r="K10" s="6">
        <f>IF(OR(J10="Terminated",J10="Asked to resign"),"Yes","")</f>
        <v/>
      </c>
      <c r="L10" s="3" t="n"/>
      <c r="M10" s="6">
        <f>IF(AND(A10&lt;&gt;"",B9&lt;&gt;""),A10-B9-1,"")</f>
        <v/>
      </c>
    </row>
    <row r="11">
      <c r="A11" s="9" t="n"/>
      <c r="B11" s="9" t="n"/>
      <c r="C11" s="3" t="n"/>
      <c r="D11" s="3" t="n"/>
      <c r="K11" s="6">
        <f>IF(OR(J11="Terminated",J11="Asked to resign"),"Yes","")</f>
        <v/>
      </c>
      <c r="L11" s="3" t="n"/>
      <c r="M11" s="6">
        <f>IF(AND(A11&lt;&gt;"",B10&lt;&gt;""),A11-B10-1,"")</f>
        <v/>
      </c>
    </row>
    <row r="12">
      <c r="A12" s="9" t="n"/>
      <c r="B12" s="9" t="n"/>
      <c r="C12" s="3" t="n"/>
      <c r="D12" s="3" t="n"/>
      <c r="K12" s="6">
        <f>IF(OR(J12="Terminated",J12="Asked to resign"),"Yes","")</f>
        <v/>
      </c>
      <c r="L12" s="3" t="n"/>
      <c r="M12" s="6">
        <f>IF(AND(A12&lt;&gt;"",B11&lt;&gt;""),A12-B11-1,"")</f>
        <v/>
      </c>
    </row>
    <row r="13">
      <c r="A13" s="9" t="n"/>
      <c r="B13" s="9" t="n"/>
      <c r="C13" s="3" t="n"/>
      <c r="D13" s="3" t="n"/>
      <c r="K13" s="6">
        <f>IF(OR(J13="Terminated",J13="Asked to resign"),"Yes","")</f>
        <v/>
      </c>
      <c r="L13" s="3" t="n"/>
      <c r="M13" s="6">
        <f>IF(AND(A13&lt;&gt;"",B12&lt;&gt;""),A13-B12-1,"")</f>
        <v/>
      </c>
    </row>
    <row r="14">
      <c r="A14" s="9" t="n"/>
      <c r="B14" s="9" t="n"/>
      <c r="C14" s="3" t="n"/>
      <c r="D14" s="3" t="n"/>
      <c r="K14" s="6">
        <f>IF(OR(J14="Terminated",J14="Asked to resign"),"Yes","")</f>
        <v/>
      </c>
      <c r="L14" s="3" t="n"/>
      <c r="M14" s="6">
        <f>IF(AND(A14&lt;&gt;"",B13&lt;&gt;""),A14-B13-1,"")</f>
        <v/>
      </c>
    </row>
    <row r="15">
      <c r="A15" s="9" t="n"/>
      <c r="B15" s="9" t="n"/>
      <c r="C15" s="3" t="n"/>
      <c r="D15" s="3" t="n"/>
      <c r="K15" s="6">
        <f>IF(OR(J15="Terminated",J15="Asked to resign"),"Yes","")</f>
        <v/>
      </c>
      <c r="L15" s="3" t="n"/>
      <c r="M15" s="6">
        <f>IF(AND(A15&lt;&gt;"",B14&lt;&gt;""),A15-B14-1,"")</f>
        <v/>
      </c>
    </row>
    <row r="16">
      <c r="A16" s="9" t="n"/>
      <c r="B16" s="9" t="n"/>
      <c r="C16" s="3" t="n"/>
      <c r="D16" s="3" t="n"/>
      <c r="K16" s="6">
        <f>IF(OR(J16="Terminated",J16="Asked to resign"),"Yes","")</f>
        <v/>
      </c>
      <c r="L16" s="3" t="n"/>
      <c r="M16" s="6">
        <f>IF(AND(A16&lt;&gt;"",B15&lt;&gt;""),A16-B15-1,"")</f>
        <v/>
      </c>
    </row>
    <row r="17">
      <c r="A17" s="9" t="n"/>
      <c r="B17" s="9" t="n"/>
      <c r="C17" s="3" t="n"/>
      <c r="D17" s="3" t="n"/>
      <c r="K17" s="6">
        <f>IF(OR(J17="Terminated",J17="Asked to resign"),"Yes","")</f>
        <v/>
      </c>
      <c r="L17" s="3" t="n"/>
      <c r="M17" s="6">
        <f>IF(AND(A17&lt;&gt;"",B16&lt;&gt;""),A17-B16-1,"")</f>
        <v/>
      </c>
    </row>
    <row r="18">
      <c r="A18" s="9" t="n"/>
      <c r="B18" s="9" t="n"/>
      <c r="C18" s="3" t="n"/>
      <c r="D18" s="3" t="n"/>
      <c r="K18" s="6">
        <f>IF(OR(J18="Terminated",J18="Asked to resign"),"Yes","")</f>
        <v/>
      </c>
      <c r="L18" s="3" t="n"/>
      <c r="M18" s="6">
        <f>IF(AND(A18&lt;&gt;"",B17&lt;&gt;""),A18-B17-1,"")</f>
        <v/>
      </c>
    </row>
    <row r="19">
      <c r="A19" s="9" t="n"/>
      <c r="B19" s="9" t="n"/>
      <c r="C19" s="3" t="n"/>
      <c r="D19" s="3" t="n"/>
      <c r="K19" s="6">
        <f>IF(OR(J19="Terminated",J19="Asked to resign"),"Yes","")</f>
        <v/>
      </c>
      <c r="L19" s="3" t="n"/>
      <c r="M19" s="6">
        <f>IF(AND(A19&lt;&gt;"",B18&lt;&gt;""),A19-B18-1,"")</f>
        <v/>
      </c>
    </row>
    <row r="20">
      <c r="A20" s="9" t="n"/>
      <c r="B20" s="9" t="n"/>
      <c r="C20" s="3" t="n"/>
      <c r="D20" s="3" t="n"/>
      <c r="K20" s="6">
        <f>IF(OR(J20="Terminated",J20="Asked to resign"),"Yes","")</f>
        <v/>
      </c>
      <c r="L20" s="3" t="n"/>
      <c r="M20" s="6">
        <f>IF(AND(A20&lt;&gt;"",B19&lt;&gt;""),A20-B19-1,"")</f>
        <v/>
      </c>
    </row>
    <row r="21">
      <c r="A21" s="9" t="n"/>
      <c r="B21" s="9" t="n"/>
      <c r="C21" s="3" t="n"/>
      <c r="D21" s="3" t="n"/>
      <c r="K21" s="6">
        <f>IF(OR(J21="Terminated",J21="Asked to resign"),"Yes","")</f>
        <v/>
      </c>
      <c r="L21" s="3" t="n"/>
      <c r="M21" s="6">
        <f>IF(AND(A21&lt;&gt;"",B20&lt;&gt;""),A21-B20-1,"")</f>
        <v/>
      </c>
    </row>
    <row r="22">
      <c r="A22" s="9" t="n"/>
      <c r="B22" s="9" t="n"/>
      <c r="C22" s="3" t="n"/>
      <c r="D22" s="3" t="n"/>
      <c r="K22" s="6">
        <f>IF(OR(J22="Terminated",J22="Asked to resign"),"Yes","")</f>
        <v/>
      </c>
      <c r="L22" s="3" t="n"/>
      <c r="M22" s="6">
        <f>IF(AND(A22&lt;&gt;"",B21&lt;&gt;""),A22-B21-1,"")</f>
        <v/>
      </c>
    </row>
    <row r="23">
      <c r="A23" s="9" t="n"/>
      <c r="B23" s="9" t="n"/>
      <c r="C23" s="3" t="n"/>
      <c r="D23" s="3" t="n"/>
      <c r="K23" s="6">
        <f>IF(OR(J23="Terminated",J23="Asked to resign"),"Yes","")</f>
        <v/>
      </c>
      <c r="L23" s="3" t="n"/>
      <c r="M23" s="6">
        <f>IF(AND(A23&lt;&gt;"",B22&lt;&gt;""),A23-B22-1,"")</f>
        <v/>
      </c>
    </row>
    <row r="24">
      <c r="A24" s="9" t="n"/>
      <c r="B24" s="9" t="n"/>
      <c r="C24" s="3" t="n"/>
      <c r="D24" s="3" t="n"/>
      <c r="K24" s="6">
        <f>IF(OR(J24="Terminated",J24="Asked to resign"),"Yes","")</f>
        <v/>
      </c>
      <c r="L24" s="3" t="n"/>
      <c r="M24" s="6">
        <f>IF(AND(A24&lt;&gt;"",B23&lt;&gt;""),A24-B23-1,"")</f>
        <v/>
      </c>
    </row>
    <row r="25">
      <c r="A25" s="9" t="n"/>
      <c r="B25" s="9" t="n"/>
      <c r="C25" s="3" t="n"/>
      <c r="D25" s="3" t="n"/>
      <c r="K25" s="6">
        <f>IF(OR(J25="Terminated",J25="Asked to resign"),"Yes","")</f>
        <v/>
      </c>
      <c r="L25" s="3" t="n"/>
      <c r="M25" s="6">
        <f>IF(AND(A25&lt;&gt;"",B24&lt;&gt;""),A25-B24-1,"")</f>
        <v/>
      </c>
    </row>
    <row r="26">
      <c r="A26" s="9" t="n"/>
      <c r="B26" s="9" t="n"/>
      <c r="C26" s="3" t="n"/>
      <c r="D26" s="3" t="n"/>
      <c r="K26" s="6">
        <f>IF(OR(J26="Terminated",J26="Asked to resign"),"Yes","")</f>
        <v/>
      </c>
      <c r="L26" s="3" t="n"/>
      <c r="M26" s="6">
        <f>IF(AND(A26&lt;&gt;"",B25&lt;&gt;""),A26-B25-1,"")</f>
        <v/>
      </c>
    </row>
    <row r="27">
      <c r="A27" s="9" t="n"/>
      <c r="B27" s="9" t="n"/>
      <c r="C27" s="3" t="n"/>
      <c r="D27" s="3" t="n"/>
      <c r="K27" s="6">
        <f>IF(OR(J27="Terminated",J27="Asked to resign"),"Yes","")</f>
        <v/>
      </c>
      <c r="L27" s="3" t="n"/>
      <c r="M27" s="6">
        <f>IF(AND(A27&lt;&gt;"",B26&lt;&gt;""),A27-B26-1,"")</f>
        <v/>
      </c>
    </row>
    <row r="28">
      <c r="A28" s="9" t="n"/>
      <c r="B28" s="9" t="n"/>
      <c r="C28" s="3" t="n"/>
      <c r="D28" s="3" t="n"/>
      <c r="K28" s="6">
        <f>IF(OR(J28="Terminated",J28="Asked to resign"),"Yes","")</f>
        <v/>
      </c>
      <c r="L28" s="3" t="n"/>
      <c r="M28" s="6">
        <f>IF(AND(A28&lt;&gt;"",B27&lt;&gt;""),A28-B27-1,"")</f>
        <v/>
      </c>
    </row>
    <row r="29">
      <c r="A29" s="9" t="n"/>
      <c r="B29" s="9" t="n"/>
      <c r="C29" s="3" t="n"/>
      <c r="D29" s="3" t="n"/>
      <c r="K29" s="6">
        <f>IF(OR(J29="Terminated",J29="Asked to resign"),"Yes","")</f>
        <v/>
      </c>
      <c r="L29" s="3" t="n"/>
      <c r="M29" s="6">
        <f>IF(AND(A29&lt;&gt;"",B28&lt;&gt;""),A29-B28-1,"")</f>
        <v/>
      </c>
    </row>
    <row r="30">
      <c r="A30" s="9" t="n"/>
      <c r="B30" s="9" t="n"/>
      <c r="C30" s="3" t="n"/>
      <c r="D30" s="3" t="n"/>
      <c r="K30" s="6">
        <f>IF(OR(J30="Terminated",J30="Asked to resign"),"Yes","")</f>
        <v/>
      </c>
      <c r="L30" s="3" t="n"/>
      <c r="M30" s="6">
        <f>IF(AND(A30&lt;&gt;"",B29&lt;&gt;""),A30-B29-1,"")</f>
        <v/>
      </c>
    </row>
    <row r="31">
      <c r="A31" s="9" t="n"/>
      <c r="B31" s="9" t="n"/>
      <c r="C31" s="3" t="n"/>
      <c r="D31" s="3" t="n"/>
      <c r="K31" s="6">
        <f>IF(OR(J31="Terminated",J31="Asked to resign"),"Yes","")</f>
        <v/>
      </c>
      <c r="L31" s="3" t="n"/>
      <c r="M31" s="6">
        <f>IF(AND(A31&lt;&gt;"",B30&lt;&gt;""),A31-B30-1,"")</f>
        <v/>
      </c>
    </row>
    <row r="32">
      <c r="A32" s="9" t="n"/>
      <c r="B32" s="9" t="n"/>
      <c r="C32" s="3" t="n"/>
      <c r="D32" s="3" t="n"/>
      <c r="K32" s="6">
        <f>IF(OR(J32="Terminated",J32="Asked to resign"),"Yes","")</f>
        <v/>
      </c>
      <c r="L32" s="3" t="n"/>
      <c r="M32" s="6">
        <f>IF(AND(A32&lt;&gt;"",B31&lt;&gt;""),A32-B31-1,"")</f>
        <v/>
      </c>
    </row>
    <row r="33">
      <c r="A33" s="9" t="n"/>
      <c r="B33" s="9" t="n"/>
      <c r="C33" s="3" t="n"/>
      <c r="D33" s="3" t="n"/>
      <c r="K33" s="6">
        <f>IF(OR(J33="Terminated",J33="Asked to resign"),"Yes","")</f>
        <v/>
      </c>
      <c r="L33" s="3" t="n"/>
      <c r="M33" s="6">
        <f>IF(AND(A33&lt;&gt;"",B32&lt;&gt;""),A33-B32-1,"")</f>
        <v/>
      </c>
    </row>
    <row r="34">
      <c r="A34" s="9" t="n"/>
      <c r="B34" s="9" t="n"/>
      <c r="C34" s="3" t="n"/>
      <c r="D34" s="3" t="n"/>
      <c r="K34" s="6">
        <f>IF(OR(J34="Terminated",J34="Asked to resign"),"Yes","")</f>
        <v/>
      </c>
      <c r="L34" s="3" t="n"/>
      <c r="M34" s="6">
        <f>IF(AND(A34&lt;&gt;"",B33&lt;&gt;""),A34-B33-1,"")</f>
        <v/>
      </c>
    </row>
    <row r="35">
      <c r="A35" s="9" t="n"/>
      <c r="B35" s="9" t="n"/>
      <c r="C35" s="3" t="n"/>
      <c r="D35" s="3" t="n"/>
      <c r="K35" s="6">
        <f>IF(OR(J35="Terminated",J35="Asked to resign"),"Yes","")</f>
        <v/>
      </c>
      <c r="L35" s="3" t="n"/>
      <c r="M35" s="6">
        <f>IF(AND(A35&lt;&gt;"",B34&lt;&gt;""),A35-B34-1,"")</f>
        <v/>
      </c>
    </row>
    <row r="36">
      <c r="A36" s="9" t="n"/>
      <c r="B36" s="9" t="n"/>
      <c r="C36" s="3" t="n"/>
      <c r="D36" s="3" t="n"/>
      <c r="K36" s="6">
        <f>IF(OR(J36="Terminated",J36="Asked to resign"),"Yes","")</f>
        <v/>
      </c>
      <c r="L36" s="3" t="n"/>
      <c r="M36" s="6">
        <f>IF(AND(A36&lt;&gt;"",B35&lt;&gt;""),A36-B35-1,"")</f>
        <v/>
      </c>
    </row>
    <row r="37">
      <c r="A37" s="9" t="n"/>
      <c r="B37" s="9" t="n"/>
      <c r="C37" s="3" t="n"/>
      <c r="D37" s="3" t="n"/>
      <c r="K37" s="6">
        <f>IF(OR(J37="Terminated",J37="Asked to resign"),"Yes","")</f>
        <v/>
      </c>
      <c r="L37" s="3" t="n"/>
      <c r="M37" s="6">
        <f>IF(AND(A37&lt;&gt;"",B36&lt;&gt;""),A37-B36-1,"")</f>
        <v/>
      </c>
    </row>
    <row r="38">
      <c r="A38" s="9" t="n"/>
      <c r="B38" s="9" t="n"/>
      <c r="C38" s="3" t="n"/>
      <c r="D38" s="3" t="n"/>
      <c r="K38" s="6">
        <f>IF(OR(J38="Terminated",J38="Asked to resign"),"Yes","")</f>
        <v/>
      </c>
      <c r="L38" s="3" t="n"/>
      <c r="M38" s="6">
        <f>IF(AND(A38&lt;&gt;"",B37&lt;&gt;""),A38-B37-1,"")</f>
        <v/>
      </c>
    </row>
    <row r="39">
      <c r="A39" s="9" t="n"/>
      <c r="B39" s="9" t="n"/>
      <c r="C39" s="3" t="n"/>
      <c r="D39" s="3" t="n"/>
      <c r="K39" s="6">
        <f>IF(OR(J39="Terminated",J39="Asked to resign"),"Yes","")</f>
        <v/>
      </c>
      <c r="L39" s="3" t="n"/>
      <c r="M39" s="6">
        <f>IF(AND(A39&lt;&gt;"",B38&lt;&gt;""),A39-B38-1,"")</f>
        <v/>
      </c>
    </row>
    <row r="40">
      <c r="A40" s="9" t="n"/>
      <c r="B40" s="9" t="n"/>
      <c r="C40" s="3" t="n"/>
      <c r="D40" s="3" t="n"/>
      <c r="K40" s="6">
        <f>IF(OR(J40="Terminated",J40="Asked to resign"),"Yes","")</f>
        <v/>
      </c>
      <c r="L40" s="3" t="n"/>
      <c r="M40" s="6">
        <f>IF(AND(A40&lt;&gt;"",B39&lt;&gt;""),A40-B39-1,"")</f>
        <v/>
      </c>
    </row>
    <row r="41">
      <c r="A41" s="9" t="n"/>
      <c r="B41" s="9" t="n"/>
      <c r="C41" s="3" t="n"/>
      <c r="D41" s="3" t="n"/>
      <c r="K41" s="6">
        <f>IF(OR(J41="Terminated",J41="Asked to resign"),"Yes","")</f>
        <v/>
      </c>
      <c r="L41" s="3" t="n"/>
      <c r="M41" s="6">
        <f>IF(AND(A41&lt;&gt;"",B40&lt;&gt;""),A41-B40-1,"")</f>
        <v/>
      </c>
    </row>
    <row r="42">
      <c r="A42" s="9" t="n"/>
      <c r="B42" s="9" t="n"/>
      <c r="C42" s="3" t="n"/>
      <c r="D42" s="3" t="n"/>
      <c r="K42" s="6">
        <f>IF(OR(J42="Terminated",J42="Asked to resign"),"Yes","")</f>
        <v/>
      </c>
      <c r="L42" s="3" t="n"/>
      <c r="M42" s="6">
        <f>IF(AND(A42&lt;&gt;"",B41&lt;&gt;""),A42-B41-1,"")</f>
        <v/>
      </c>
    </row>
    <row r="43">
      <c r="A43" s="9" t="n"/>
      <c r="B43" s="9" t="n"/>
      <c r="C43" s="3" t="n"/>
      <c r="D43" s="3" t="n"/>
      <c r="K43" s="6">
        <f>IF(OR(J43="Terminated",J43="Asked to resign"),"Yes","")</f>
        <v/>
      </c>
      <c r="L43" s="3" t="n"/>
      <c r="M43" s="6">
        <f>IF(AND(A43&lt;&gt;"",B42&lt;&gt;""),A43-B42-1,"")</f>
        <v/>
      </c>
    </row>
    <row r="44">
      <c r="A44" s="9" t="n"/>
      <c r="B44" s="9" t="n"/>
      <c r="C44" s="3" t="n"/>
      <c r="D44" s="3" t="n"/>
      <c r="K44" s="6">
        <f>IF(OR(J44="Terminated",J44="Asked to resign"),"Yes","")</f>
        <v/>
      </c>
      <c r="L44" s="3" t="n"/>
      <c r="M44" s="6">
        <f>IF(AND(A44&lt;&gt;"",B43&lt;&gt;""),A44-B43-1,"")</f>
        <v/>
      </c>
    </row>
    <row r="45">
      <c r="A45" s="9" t="n"/>
      <c r="B45" s="9" t="n"/>
      <c r="C45" s="3" t="n"/>
      <c r="D45" s="3" t="n"/>
      <c r="K45" s="6">
        <f>IF(OR(J45="Terminated",J45="Asked to resign"),"Yes","")</f>
        <v/>
      </c>
      <c r="L45" s="3" t="n"/>
      <c r="M45" s="6">
        <f>IF(AND(A45&lt;&gt;"",B44&lt;&gt;""),A45-B44-1,"")</f>
        <v/>
      </c>
    </row>
    <row r="46">
      <c r="A46" s="9" t="n"/>
      <c r="B46" s="9" t="n"/>
      <c r="C46" s="3" t="n"/>
      <c r="D46" s="3" t="n"/>
      <c r="K46" s="6">
        <f>IF(OR(J46="Terminated",J46="Asked to resign"),"Yes","")</f>
        <v/>
      </c>
      <c r="L46" s="3" t="n"/>
      <c r="M46" s="6">
        <f>IF(AND(A46&lt;&gt;"",B45&lt;&gt;""),A46-B45-1,"")</f>
        <v/>
      </c>
    </row>
    <row r="47">
      <c r="A47" s="9" t="n"/>
      <c r="B47" s="9" t="n"/>
      <c r="C47" s="3" t="n"/>
      <c r="D47" s="3" t="n"/>
      <c r="K47" s="6">
        <f>IF(OR(J47="Terminated",J47="Asked to resign"),"Yes","")</f>
        <v/>
      </c>
      <c r="L47" s="3" t="n"/>
      <c r="M47" s="6">
        <f>IF(AND(A47&lt;&gt;"",B46&lt;&gt;""),A47-B46-1,"")</f>
        <v/>
      </c>
    </row>
    <row r="48">
      <c r="A48" s="9" t="n"/>
      <c r="B48" s="9" t="n"/>
      <c r="C48" s="3" t="n"/>
      <c r="D48" s="3" t="n"/>
      <c r="K48" s="6">
        <f>IF(OR(J48="Terminated",J48="Asked to resign"),"Yes","")</f>
        <v/>
      </c>
      <c r="L48" s="3" t="n"/>
      <c r="M48" s="6">
        <f>IF(AND(A48&lt;&gt;"",B47&lt;&gt;""),A48-B47-1,"")</f>
        <v/>
      </c>
    </row>
    <row r="49">
      <c r="A49" s="9" t="n"/>
      <c r="B49" s="9" t="n"/>
      <c r="C49" s="3" t="n"/>
      <c r="D49" s="3" t="n"/>
      <c r="K49" s="6">
        <f>IF(OR(J49="Terminated",J49="Asked to resign"),"Yes","")</f>
        <v/>
      </c>
      <c r="L49" s="3" t="n"/>
      <c r="M49" s="6">
        <f>IF(AND(A49&lt;&gt;"",B48&lt;&gt;""),A49-B48-1,"")</f>
        <v/>
      </c>
    </row>
    <row r="50">
      <c r="A50" s="9" t="n"/>
      <c r="B50" s="9" t="n"/>
      <c r="C50" s="3" t="n"/>
      <c r="D50" s="3" t="n"/>
      <c r="K50" s="6">
        <f>IF(OR(J50="Terminated",J50="Asked to resign"),"Yes","")</f>
        <v/>
      </c>
      <c r="L50" s="3" t="n"/>
      <c r="M50" s="6">
        <f>IF(AND(A50&lt;&gt;"",B49&lt;&gt;""),A50-B49-1,"")</f>
        <v/>
      </c>
    </row>
    <row r="51">
      <c r="A51" s="9" t="n"/>
      <c r="B51" s="9" t="n"/>
      <c r="C51" s="3" t="n"/>
      <c r="D51" s="3" t="n"/>
      <c r="K51" s="6">
        <f>IF(OR(J51="Terminated",J51="Asked to resign"),"Yes","")</f>
        <v/>
      </c>
      <c r="L51" s="3" t="n"/>
      <c r="M51" s="6">
        <f>IF(AND(A51&lt;&gt;"",B50&lt;&gt;""),A51-B50-1,"")</f>
        <v/>
      </c>
    </row>
    <row r="52">
      <c r="A52" s="9" t="n"/>
      <c r="B52" s="9" t="n"/>
      <c r="C52" s="3" t="n"/>
      <c r="D52" s="3" t="n"/>
      <c r="K52" s="6">
        <f>IF(OR(J52="Terminated",J52="Asked to resign"),"Yes","")</f>
        <v/>
      </c>
      <c r="L52" s="3" t="n"/>
      <c r="M52" s="6">
        <f>IF(AND(A52&lt;&gt;"",B51&lt;&gt;""),A52-B51-1,"")</f>
        <v/>
      </c>
    </row>
    <row r="53">
      <c r="A53" s="9" t="n"/>
      <c r="B53" s="9" t="n"/>
      <c r="C53" s="3" t="n"/>
      <c r="D53" s="3" t="n"/>
      <c r="K53" s="6">
        <f>IF(OR(J53="Terminated",J53="Asked to resign"),"Yes","")</f>
        <v/>
      </c>
      <c r="L53" s="3" t="n"/>
      <c r="M53" s="6">
        <f>IF(AND(A53&lt;&gt;"",B52&lt;&gt;""),A53-B52-1,"")</f>
        <v/>
      </c>
    </row>
    <row r="54">
      <c r="A54" s="9" t="n"/>
      <c r="B54" s="9" t="n"/>
      <c r="C54" s="3" t="n"/>
      <c r="D54" s="3" t="n"/>
      <c r="K54" s="6">
        <f>IF(OR(J54="Terminated",J54="Asked to resign"),"Yes","")</f>
        <v/>
      </c>
      <c r="L54" s="3" t="n"/>
      <c r="M54" s="6">
        <f>IF(AND(A54&lt;&gt;"",B53&lt;&gt;""),A54-B53-1,"")</f>
        <v/>
      </c>
    </row>
    <row r="55">
      <c r="A55" s="9" t="n"/>
      <c r="B55" s="9" t="n"/>
      <c r="C55" s="3" t="n"/>
      <c r="D55" s="3" t="n"/>
      <c r="K55" s="6">
        <f>IF(OR(J55="Terminated",J55="Asked to resign"),"Yes","")</f>
        <v/>
      </c>
      <c r="L55" s="3" t="n"/>
      <c r="M55" s="6">
        <f>IF(AND(A55&lt;&gt;"",B54&lt;&gt;""),A55-B54-1,"")</f>
        <v/>
      </c>
    </row>
    <row r="56">
      <c r="A56" s="9" t="n"/>
      <c r="B56" s="9" t="n"/>
      <c r="C56" s="3" t="n"/>
      <c r="D56" s="3" t="n"/>
      <c r="K56" s="6">
        <f>IF(OR(J56="Terminated",J56="Asked to resign"),"Yes","")</f>
        <v/>
      </c>
      <c r="L56" s="3" t="n"/>
      <c r="M56" s="6">
        <f>IF(AND(A56&lt;&gt;"",B55&lt;&gt;""),A56-B55-1,"")</f>
        <v/>
      </c>
    </row>
    <row r="57">
      <c r="A57" s="9" t="n"/>
      <c r="B57" s="9" t="n"/>
      <c r="C57" s="3" t="n"/>
      <c r="D57" s="3" t="n"/>
      <c r="K57" s="6">
        <f>IF(OR(J57="Terminated",J57="Asked to resign"),"Yes","")</f>
        <v/>
      </c>
      <c r="L57" s="3" t="n"/>
      <c r="M57" s="6">
        <f>IF(AND(A57&lt;&gt;"",B56&lt;&gt;""),A57-B56-1,"")</f>
        <v/>
      </c>
    </row>
    <row r="58">
      <c r="A58" s="9" t="n"/>
      <c r="B58" s="9" t="n"/>
      <c r="C58" s="3" t="n"/>
      <c r="D58" s="3" t="n"/>
      <c r="K58" s="6">
        <f>IF(OR(J58="Terminated",J58="Asked to resign"),"Yes","")</f>
        <v/>
      </c>
      <c r="L58" s="3" t="n"/>
      <c r="M58" s="6">
        <f>IF(AND(A58&lt;&gt;"",B57&lt;&gt;""),A58-B57-1,"")</f>
        <v/>
      </c>
    </row>
    <row r="59">
      <c r="A59" s="9" t="n"/>
      <c r="B59" s="9" t="n"/>
      <c r="C59" s="3" t="n"/>
      <c r="D59" s="3" t="n"/>
      <c r="K59" s="6">
        <f>IF(OR(J59="Terminated",J59="Asked to resign"),"Yes","")</f>
        <v/>
      </c>
      <c r="L59" s="3" t="n"/>
      <c r="M59" s="6">
        <f>IF(AND(A59&lt;&gt;"",B58&lt;&gt;""),A59-B58-1,"")</f>
        <v/>
      </c>
    </row>
    <row r="60">
      <c r="A60" s="9" t="n"/>
      <c r="B60" s="9" t="n"/>
      <c r="C60" s="3" t="n"/>
      <c r="D60" s="3" t="n"/>
      <c r="K60" s="6">
        <f>IF(OR(J60="Terminated",J60="Asked to resign"),"Yes","")</f>
        <v/>
      </c>
      <c r="L60" s="3" t="n"/>
      <c r="M60" s="6">
        <f>IF(AND(A60&lt;&gt;"",B59&lt;&gt;""),A60-B59-1,"")</f>
        <v/>
      </c>
    </row>
    <row r="61">
      <c r="A61" s="9" t="n"/>
      <c r="B61" s="9" t="n"/>
      <c r="C61" s="3" t="n"/>
      <c r="D61" s="3" t="n"/>
      <c r="K61" s="6">
        <f>IF(OR(J61="Terminated",J61="Asked to resign"),"Yes","")</f>
        <v/>
      </c>
      <c r="L61" s="3" t="n"/>
      <c r="M61" s="6">
        <f>IF(AND(A61&lt;&gt;"",B60&lt;&gt;""),A61-B60-1,"")</f>
        <v/>
      </c>
    </row>
  </sheetData>
  <conditionalFormatting sqref="K2:K61">
    <cfRule type="cellIs" priority="1" operator="equal" dxfId="0">
      <formula>"Yes"</formula>
    </cfRule>
  </conditionalFormatting>
  <conditionalFormatting sqref="M2:M61">
    <cfRule type="cellIs" priority="2" operator="greaterThan" dxfId="0">
      <formula>30</formula>
    </cfRule>
  </conditionalFormatting>
  <dataValidations count="4">
    <dataValidation sqref="A2:A61" showDropDown="0" showInputMessage="0" showErrorMessage="0" allowBlank="1" errorTitle="Date" error="Enter a date, for example 2024-09-01." type="date" operator="greaterThan">
      <formula1>DATE(1950,1,1)</formula1>
    </dataValidation>
    <dataValidation sqref="B2:B61" showDropDown="0" showInputMessage="0" showErrorMessage="0" allowBlank="1" errorTitle="Date" error="Enter a date, for example 2024-09-01." type="date" operator="greaterThan">
      <formula1>DATE(1950,1,1)</formula1>
    </dataValidation>
    <dataValidation sqref="I2:I61" showDropDown="0" showInputMessage="0" showErrorMessage="0" allowBlank="1" type="list">
      <formula1>"Full-time,Part-time,Seasonal,Unemployed"</formula1>
    </dataValidation>
    <dataValidation sqref="J2:J61" showDropDown="0" showInputMessage="0" showErrorMessage="0" allowBlank="1" type="list">
      <formula1>"Still there,Graduated or returned to school,Resigned,Contract ended,Laid off,Asked to resign,Terminated,Other"</formula1>
    </dataValidation>
  </dataValidations>
  <pageMargins left="0.75" right="0.75" top="1" bottom="1" header="0.5" footer="0.5"/>
</worksheet>
</file>

<file path=xl/worksheets/sheet5.xml><?xml version="1.0" encoding="utf-8"?>
<worksheet xmlns="http://schemas.openxmlformats.org/spreadsheetml/2006/main">
  <sheetPr>
    <tabColor rgb="001769E0"/>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18" customWidth="1" min="4" max="4"/>
    <col width="20" customWidth="1" min="5" max="5"/>
    <col width="14" customWidth="1" min="6" max="6"/>
    <col width="40" customWidth="1" min="7" max="7"/>
  </cols>
  <sheetData>
    <row r="1" ht="34" customHeight="1">
      <c r="A1" s="8" t="inlineStr">
        <is>
          <t>From</t>
        </is>
      </c>
      <c r="B1" s="8" t="inlineStr">
        <is>
          <t>To</t>
        </is>
      </c>
      <c r="C1" s="8" t="inlineStr">
        <is>
          <t>School</t>
        </is>
      </c>
      <c r="D1" s="8" t="inlineStr">
        <is>
          <t>City and state</t>
        </is>
      </c>
      <c r="E1" s="8" t="inlineStr">
        <is>
          <t>Degree or program</t>
        </is>
      </c>
      <c r="F1" s="8" t="inlineStr">
        <is>
          <t>Discipline or probation?</t>
        </is>
      </c>
      <c r="G1" s="8" t="inlineStr">
        <is>
          <t>Explanation</t>
        </is>
      </c>
    </row>
    <row r="2">
      <c r="A2" s="9" t="n"/>
      <c r="B2" s="9" t="n"/>
      <c r="C2" s="3" t="n"/>
      <c r="G2" s="3" t="n"/>
    </row>
    <row r="3">
      <c r="A3" s="9" t="n"/>
      <c r="B3" s="9" t="n"/>
      <c r="C3" s="3" t="n"/>
      <c r="G3" s="3" t="n"/>
    </row>
    <row r="4">
      <c r="A4" s="9" t="n"/>
      <c r="B4" s="9" t="n"/>
      <c r="C4" s="3" t="n"/>
      <c r="G4" s="3" t="n"/>
    </row>
    <row r="5">
      <c r="A5" s="9" t="n"/>
      <c r="B5" s="9" t="n"/>
      <c r="C5" s="3" t="n"/>
      <c r="G5" s="3" t="n"/>
    </row>
    <row r="6">
      <c r="A6" s="9" t="n"/>
      <c r="B6" s="9" t="n"/>
      <c r="C6" s="3" t="n"/>
      <c r="G6" s="3" t="n"/>
    </row>
    <row r="7">
      <c r="A7" s="9" t="n"/>
      <c r="B7" s="9" t="n"/>
      <c r="C7" s="3" t="n"/>
      <c r="G7" s="3" t="n"/>
    </row>
    <row r="8">
      <c r="A8" s="9" t="n"/>
      <c r="B8" s="9" t="n"/>
      <c r="C8" s="3" t="n"/>
      <c r="G8" s="3" t="n"/>
    </row>
    <row r="9">
      <c r="A9" s="9" t="n"/>
      <c r="B9" s="9" t="n"/>
      <c r="C9" s="3" t="n"/>
      <c r="G9" s="3" t="n"/>
    </row>
    <row r="10">
      <c r="A10" s="9" t="n"/>
      <c r="B10" s="9" t="n"/>
      <c r="C10" s="3" t="n"/>
      <c r="G10" s="3" t="n"/>
    </row>
    <row r="11">
      <c r="A11" s="9" t="n"/>
      <c r="B11" s="9" t="n"/>
      <c r="C11" s="3" t="n"/>
      <c r="G11" s="3" t="n"/>
    </row>
    <row r="12">
      <c r="A12" s="9" t="n"/>
      <c r="B12" s="9" t="n"/>
      <c r="C12" s="3" t="n"/>
      <c r="G12" s="3" t="n"/>
    </row>
    <row r="13">
      <c r="A13" s="9" t="n"/>
      <c r="B13" s="9" t="n"/>
      <c r="C13" s="3" t="n"/>
      <c r="G13" s="3" t="n"/>
    </row>
    <row r="14">
      <c r="A14" s="9" t="n"/>
      <c r="B14" s="9" t="n"/>
      <c r="C14" s="3" t="n"/>
      <c r="G14" s="3" t="n"/>
    </row>
    <row r="15">
      <c r="A15" s="9" t="n"/>
      <c r="B15" s="9" t="n"/>
      <c r="C15" s="3" t="n"/>
      <c r="G15" s="3" t="n"/>
    </row>
    <row r="16">
      <c r="A16" s="9" t="n"/>
      <c r="B16" s="9" t="n"/>
      <c r="C16" s="3" t="n"/>
      <c r="G16" s="3" t="n"/>
    </row>
    <row r="17">
      <c r="A17" s="9" t="n"/>
      <c r="B17" s="9" t="n"/>
      <c r="C17" s="3" t="n"/>
      <c r="G17" s="3" t="n"/>
    </row>
    <row r="18">
      <c r="A18" s="9" t="n"/>
      <c r="B18" s="9" t="n"/>
      <c r="C18" s="3" t="n"/>
      <c r="G18" s="3" t="n"/>
    </row>
    <row r="19">
      <c r="A19" s="9" t="n"/>
      <c r="B19" s="9" t="n"/>
      <c r="C19" s="3" t="n"/>
      <c r="G19" s="3" t="n"/>
    </row>
    <row r="20">
      <c r="A20" s="9" t="n"/>
      <c r="B20" s="9" t="n"/>
      <c r="C20" s="3" t="n"/>
      <c r="G20" s="3" t="n"/>
    </row>
    <row r="21">
      <c r="A21" s="9" t="n"/>
      <c r="B21" s="9" t="n"/>
      <c r="C21" s="3" t="n"/>
      <c r="G21" s="3" t="n"/>
    </row>
    <row r="22">
      <c r="A22" s="9" t="n"/>
      <c r="B22" s="9" t="n"/>
      <c r="C22" s="3" t="n"/>
      <c r="G22" s="3" t="n"/>
    </row>
    <row r="23">
      <c r="A23" s="9" t="n"/>
      <c r="B23" s="9" t="n"/>
      <c r="C23" s="3" t="n"/>
      <c r="G23" s="3" t="n"/>
    </row>
    <row r="24">
      <c r="A24" s="9" t="n"/>
      <c r="B24" s="9" t="n"/>
      <c r="C24" s="3" t="n"/>
      <c r="G24" s="3" t="n"/>
    </row>
    <row r="25">
      <c r="A25" s="9" t="n"/>
      <c r="B25" s="9" t="n"/>
      <c r="C25" s="3" t="n"/>
      <c r="G25" s="3" t="n"/>
    </row>
    <row r="26">
      <c r="A26" s="9" t="n"/>
      <c r="B26" s="9" t="n"/>
      <c r="C26" s="3" t="n"/>
      <c r="G26" s="3" t="n"/>
    </row>
    <row r="27">
      <c r="A27" s="9" t="n"/>
      <c r="B27" s="9" t="n"/>
      <c r="C27" s="3" t="n"/>
      <c r="G27" s="3" t="n"/>
    </row>
    <row r="28">
      <c r="A28" s="9" t="n"/>
      <c r="B28" s="9" t="n"/>
      <c r="C28" s="3" t="n"/>
      <c r="G28" s="3" t="n"/>
    </row>
    <row r="29">
      <c r="A29" s="9" t="n"/>
      <c r="B29" s="9" t="n"/>
      <c r="C29" s="3" t="n"/>
      <c r="G29" s="3" t="n"/>
    </row>
    <row r="30">
      <c r="A30" s="9" t="n"/>
      <c r="B30" s="9" t="n"/>
      <c r="C30" s="3" t="n"/>
      <c r="G30" s="3" t="n"/>
    </row>
    <row r="31">
      <c r="A31" s="9" t="n"/>
      <c r="B31" s="9" t="n"/>
      <c r="C31" s="3" t="n"/>
      <c r="G31" s="3" t="n"/>
    </row>
    <row r="32">
      <c r="A32" s="9" t="n"/>
      <c r="B32" s="9" t="n"/>
      <c r="C32" s="3" t="n"/>
      <c r="G32" s="3" t="n"/>
    </row>
    <row r="33">
      <c r="A33" s="9" t="n"/>
      <c r="B33" s="9" t="n"/>
      <c r="C33" s="3" t="n"/>
      <c r="G33" s="3" t="n"/>
    </row>
    <row r="34">
      <c r="A34" s="9" t="n"/>
      <c r="B34" s="9" t="n"/>
      <c r="C34" s="3" t="n"/>
      <c r="G34" s="3" t="n"/>
    </row>
    <row r="35">
      <c r="A35" s="9" t="n"/>
      <c r="B35" s="9" t="n"/>
      <c r="C35" s="3" t="n"/>
      <c r="G35" s="3" t="n"/>
    </row>
    <row r="36">
      <c r="A36" s="9" t="n"/>
      <c r="B36" s="9" t="n"/>
      <c r="C36" s="3" t="n"/>
      <c r="G36" s="3" t="n"/>
    </row>
    <row r="37">
      <c r="A37" s="9" t="n"/>
      <c r="B37" s="9" t="n"/>
      <c r="C37" s="3" t="n"/>
      <c r="G37" s="3" t="n"/>
    </row>
    <row r="38">
      <c r="A38" s="9" t="n"/>
      <c r="B38" s="9" t="n"/>
      <c r="C38" s="3" t="n"/>
      <c r="G38" s="3" t="n"/>
    </row>
    <row r="39">
      <c r="A39" s="9" t="n"/>
      <c r="B39" s="9" t="n"/>
      <c r="C39" s="3" t="n"/>
      <c r="G39" s="3" t="n"/>
    </row>
    <row r="40">
      <c r="A40" s="9" t="n"/>
      <c r="B40" s="9" t="n"/>
      <c r="C40" s="3" t="n"/>
      <c r="G40" s="3" t="n"/>
    </row>
    <row r="41">
      <c r="A41" s="9" t="n"/>
      <c r="B41" s="9" t="n"/>
      <c r="C41" s="3" t="n"/>
      <c r="G41" s="3" t="n"/>
    </row>
    <row r="42">
      <c r="A42" s="9" t="n"/>
      <c r="B42" s="9" t="n"/>
      <c r="C42" s="3" t="n"/>
      <c r="G42" s="3" t="n"/>
    </row>
    <row r="43">
      <c r="A43" s="9" t="n"/>
      <c r="B43" s="9" t="n"/>
      <c r="C43" s="3" t="n"/>
      <c r="G43" s="3" t="n"/>
    </row>
    <row r="44">
      <c r="A44" s="9" t="n"/>
      <c r="B44" s="9" t="n"/>
      <c r="C44" s="3" t="n"/>
      <c r="G44" s="3" t="n"/>
    </row>
    <row r="45">
      <c r="A45" s="9" t="n"/>
      <c r="B45" s="9" t="n"/>
      <c r="C45" s="3" t="n"/>
      <c r="G45" s="3" t="n"/>
    </row>
    <row r="46">
      <c r="A46" s="9" t="n"/>
      <c r="B46" s="9" t="n"/>
      <c r="C46" s="3" t="n"/>
      <c r="G46" s="3" t="n"/>
    </row>
    <row r="47">
      <c r="A47" s="9" t="n"/>
      <c r="B47" s="9" t="n"/>
      <c r="C47" s="3" t="n"/>
      <c r="G47" s="3" t="n"/>
    </row>
    <row r="48">
      <c r="A48" s="9" t="n"/>
      <c r="B48" s="9" t="n"/>
      <c r="C48" s="3" t="n"/>
      <c r="G48" s="3" t="n"/>
    </row>
    <row r="49">
      <c r="A49" s="9" t="n"/>
      <c r="B49" s="9" t="n"/>
      <c r="C49" s="3" t="n"/>
      <c r="G49" s="3" t="n"/>
    </row>
    <row r="50">
      <c r="A50" s="9" t="n"/>
      <c r="B50" s="9" t="n"/>
      <c r="C50" s="3" t="n"/>
      <c r="G50" s="3" t="n"/>
    </row>
    <row r="51">
      <c r="A51" s="9" t="n"/>
      <c r="B51" s="9" t="n"/>
      <c r="C51" s="3" t="n"/>
      <c r="G51" s="3" t="n"/>
    </row>
    <row r="52">
      <c r="A52" s="9" t="n"/>
      <c r="B52" s="9" t="n"/>
      <c r="C52" s="3" t="n"/>
      <c r="G52" s="3" t="n"/>
    </row>
    <row r="53">
      <c r="A53" s="9" t="n"/>
      <c r="B53" s="9" t="n"/>
      <c r="C53" s="3" t="n"/>
      <c r="G53" s="3" t="n"/>
    </row>
    <row r="54">
      <c r="A54" s="9" t="n"/>
      <c r="B54" s="9" t="n"/>
      <c r="C54" s="3" t="n"/>
      <c r="G54" s="3" t="n"/>
    </row>
    <row r="55">
      <c r="A55" s="9" t="n"/>
      <c r="B55" s="9" t="n"/>
      <c r="C55" s="3" t="n"/>
      <c r="G55" s="3" t="n"/>
    </row>
    <row r="56">
      <c r="A56" s="9" t="n"/>
      <c r="B56" s="9" t="n"/>
      <c r="C56" s="3" t="n"/>
      <c r="G56" s="3" t="n"/>
    </row>
    <row r="57">
      <c r="A57" s="9" t="n"/>
      <c r="B57" s="9" t="n"/>
      <c r="C57" s="3" t="n"/>
      <c r="G57" s="3" t="n"/>
    </row>
    <row r="58">
      <c r="A58" s="9" t="n"/>
      <c r="B58" s="9" t="n"/>
      <c r="C58" s="3" t="n"/>
      <c r="G58" s="3" t="n"/>
    </row>
    <row r="59">
      <c r="A59" s="9" t="n"/>
      <c r="B59" s="9" t="n"/>
      <c r="C59" s="3" t="n"/>
      <c r="G59" s="3" t="n"/>
    </row>
    <row r="60">
      <c r="A60" s="9" t="n"/>
      <c r="B60" s="9" t="n"/>
      <c r="C60" s="3" t="n"/>
      <c r="G60" s="3" t="n"/>
    </row>
    <row r="61">
      <c r="A61" s="9" t="n"/>
      <c r="B61" s="9" t="n"/>
      <c r="C61" s="3" t="n"/>
      <c r="G61" s="3" t="n"/>
    </row>
  </sheetData>
  <dataValidations count="3">
    <dataValidation sqref="A2:A61" showDropDown="0" showInputMessage="0" showErrorMessage="0" allowBlank="1" errorTitle="Date" error="Enter a date, for example 2024-09-01." type="date" operator="greaterThan">
      <formula1>DATE(1950,1,1)</formula1>
    </dataValidation>
    <dataValidation sqref="B2:B61" showDropDown="0" showInputMessage="0" showErrorMessage="0" allowBlank="1" errorTitle="Date" error="Enter a date, for example 2024-09-01." type="date" operator="greaterThan">
      <formula1>DATE(1950,1,1)</formula1>
    </dataValidation>
    <dataValidation sqref="F2:F61" showDropDown="0" showInputMessage="0" showErrorMessage="0" allowBlank="1" type="list">
      <formula1>"No,Yes"</formula1>
    </dataValidation>
  </dataValidations>
  <pageMargins left="0.75" right="0.75" top="1" bottom="1" header="0.5" footer="0.5"/>
</worksheet>
</file>

<file path=xl/worksheets/sheet6.xml><?xml version="1.0" encoding="utf-8"?>
<worksheet xmlns="http://schemas.openxmlformats.org/spreadsheetml/2006/main">
  <sheetPr>
    <tabColor rgb="001769E0"/>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4" customWidth="1" min="3" max="3"/>
    <col width="18" customWidth="1" min="4" max="4"/>
    <col width="34" customWidth="1" min="5" max="5"/>
    <col width="22" customWidth="1" min="6" max="6"/>
    <col width="14" customWidth="1" min="7" max="7"/>
    <col width="12" customWidth="1" min="8" max="8"/>
    <col width="30" customWidth="1" min="9" max="9"/>
  </cols>
  <sheetData>
    <row r="1" ht="34" customHeight="1">
      <c r="A1" s="8" t="inlineStr">
        <is>
          <t>Date</t>
        </is>
      </c>
      <c r="B1" s="8" t="inlineStr">
        <is>
          <t>Type</t>
        </is>
      </c>
      <c r="C1" s="8" t="inlineStr">
        <is>
          <t>Court or agency</t>
        </is>
      </c>
      <c r="D1" s="8" t="inlineStr">
        <is>
          <t>Docket or citation number</t>
        </is>
      </c>
      <c r="E1" s="8" t="inlineStr">
        <is>
          <t>What happened</t>
        </is>
      </c>
      <c r="F1" s="8" t="inlineStr">
        <is>
          <t>Outcome</t>
        </is>
      </c>
      <c r="G1" s="8" t="inlineStr">
        <is>
          <t>Sealed, expunged or dismissed?</t>
        </is>
      </c>
      <c r="H1" s="8" t="inlineStr">
        <is>
          <t>Records obtained?</t>
        </is>
      </c>
      <c r="I1" s="8" t="inlineStr">
        <is>
          <t>Notes</t>
        </is>
      </c>
    </row>
    <row r="2">
      <c r="A2" s="9" t="n"/>
      <c r="E2" s="3" t="n"/>
      <c r="I2" s="3" t="n"/>
    </row>
    <row r="3">
      <c r="A3" s="9" t="n"/>
      <c r="E3" s="3" t="n"/>
      <c r="I3" s="3" t="n"/>
    </row>
    <row r="4">
      <c r="A4" s="9" t="n"/>
      <c r="E4" s="3" t="n"/>
      <c r="I4" s="3" t="n"/>
    </row>
    <row r="5">
      <c r="A5" s="9" t="n"/>
      <c r="E5" s="3" t="n"/>
      <c r="I5" s="3" t="n"/>
    </row>
    <row r="6">
      <c r="A6" s="9" t="n"/>
      <c r="E6" s="3" t="n"/>
      <c r="I6" s="3" t="n"/>
    </row>
    <row r="7">
      <c r="A7" s="9" t="n"/>
      <c r="E7" s="3" t="n"/>
      <c r="I7" s="3" t="n"/>
    </row>
    <row r="8">
      <c r="A8" s="9" t="n"/>
      <c r="E8" s="3" t="n"/>
      <c r="I8" s="3" t="n"/>
    </row>
    <row r="9">
      <c r="A9" s="9" t="n"/>
      <c r="E9" s="3" t="n"/>
      <c r="I9" s="3" t="n"/>
    </row>
    <row r="10">
      <c r="A10" s="9" t="n"/>
      <c r="E10" s="3" t="n"/>
      <c r="I10" s="3" t="n"/>
    </row>
    <row r="11">
      <c r="A11" s="9" t="n"/>
      <c r="E11" s="3" t="n"/>
      <c r="I11" s="3" t="n"/>
    </row>
    <row r="12">
      <c r="A12" s="9" t="n"/>
      <c r="E12" s="3" t="n"/>
      <c r="I12" s="3" t="n"/>
    </row>
    <row r="13">
      <c r="A13" s="9" t="n"/>
      <c r="E13" s="3" t="n"/>
      <c r="I13" s="3" t="n"/>
    </row>
    <row r="14">
      <c r="A14" s="9" t="n"/>
      <c r="E14" s="3" t="n"/>
      <c r="I14" s="3" t="n"/>
    </row>
    <row r="15">
      <c r="A15" s="9" t="n"/>
      <c r="E15" s="3" t="n"/>
      <c r="I15" s="3" t="n"/>
    </row>
    <row r="16">
      <c r="A16" s="9" t="n"/>
      <c r="E16" s="3" t="n"/>
      <c r="I16" s="3" t="n"/>
    </row>
    <row r="17">
      <c r="A17" s="9" t="n"/>
      <c r="E17" s="3" t="n"/>
      <c r="I17" s="3" t="n"/>
    </row>
    <row r="18">
      <c r="A18" s="9" t="n"/>
      <c r="E18" s="3" t="n"/>
      <c r="I18" s="3" t="n"/>
    </row>
    <row r="19">
      <c r="A19" s="9" t="n"/>
      <c r="E19" s="3" t="n"/>
      <c r="I19" s="3" t="n"/>
    </row>
    <row r="20">
      <c r="A20" s="9" t="n"/>
      <c r="E20" s="3" t="n"/>
      <c r="I20" s="3" t="n"/>
    </row>
    <row r="21">
      <c r="A21" s="9" t="n"/>
      <c r="E21" s="3" t="n"/>
      <c r="I21" s="3" t="n"/>
    </row>
    <row r="22">
      <c r="A22" s="9" t="n"/>
      <c r="E22" s="3" t="n"/>
      <c r="I22" s="3" t="n"/>
    </row>
    <row r="23">
      <c r="A23" s="9" t="n"/>
      <c r="E23" s="3" t="n"/>
      <c r="I23" s="3" t="n"/>
    </row>
    <row r="24">
      <c r="A24" s="9" t="n"/>
      <c r="E24" s="3" t="n"/>
      <c r="I24" s="3" t="n"/>
    </row>
    <row r="25">
      <c r="A25" s="9" t="n"/>
      <c r="E25" s="3" t="n"/>
      <c r="I25" s="3" t="n"/>
    </row>
    <row r="26">
      <c r="A26" s="9" t="n"/>
      <c r="E26" s="3" t="n"/>
      <c r="I26" s="3" t="n"/>
    </row>
    <row r="27">
      <c r="A27" s="9" t="n"/>
      <c r="E27" s="3" t="n"/>
      <c r="I27" s="3" t="n"/>
    </row>
    <row r="28">
      <c r="A28" s="9" t="n"/>
      <c r="E28" s="3" t="n"/>
      <c r="I28" s="3" t="n"/>
    </row>
    <row r="29">
      <c r="A29" s="9" t="n"/>
      <c r="E29" s="3" t="n"/>
      <c r="I29" s="3" t="n"/>
    </row>
    <row r="30">
      <c r="A30" s="9" t="n"/>
      <c r="E30" s="3" t="n"/>
      <c r="I30" s="3" t="n"/>
    </row>
    <row r="31">
      <c r="A31" s="9" t="n"/>
      <c r="E31" s="3" t="n"/>
      <c r="I31" s="3" t="n"/>
    </row>
    <row r="32">
      <c r="A32" s="9" t="n"/>
      <c r="E32" s="3" t="n"/>
      <c r="I32" s="3" t="n"/>
    </row>
    <row r="33">
      <c r="A33" s="9" t="n"/>
      <c r="E33" s="3" t="n"/>
      <c r="I33" s="3" t="n"/>
    </row>
    <row r="34">
      <c r="A34" s="9" t="n"/>
      <c r="E34" s="3" t="n"/>
      <c r="I34" s="3" t="n"/>
    </row>
    <row r="35">
      <c r="A35" s="9" t="n"/>
      <c r="E35" s="3" t="n"/>
      <c r="I35" s="3" t="n"/>
    </row>
    <row r="36">
      <c r="A36" s="9" t="n"/>
      <c r="E36" s="3" t="n"/>
      <c r="I36" s="3" t="n"/>
    </row>
    <row r="37">
      <c r="A37" s="9" t="n"/>
      <c r="E37" s="3" t="n"/>
      <c r="I37" s="3" t="n"/>
    </row>
    <row r="38">
      <c r="A38" s="9" t="n"/>
      <c r="E38" s="3" t="n"/>
      <c r="I38" s="3" t="n"/>
    </row>
    <row r="39">
      <c r="A39" s="9" t="n"/>
      <c r="E39" s="3" t="n"/>
      <c r="I39" s="3" t="n"/>
    </row>
    <row r="40">
      <c r="A40" s="9" t="n"/>
      <c r="E40" s="3" t="n"/>
      <c r="I40" s="3" t="n"/>
    </row>
    <row r="41">
      <c r="A41" s="9" t="n"/>
      <c r="E41" s="3" t="n"/>
      <c r="I41" s="3" t="n"/>
    </row>
    <row r="42">
      <c r="A42" s="9" t="n"/>
      <c r="E42" s="3" t="n"/>
      <c r="I42" s="3" t="n"/>
    </row>
    <row r="43">
      <c r="A43" s="9" t="n"/>
      <c r="E43" s="3" t="n"/>
      <c r="I43" s="3" t="n"/>
    </row>
    <row r="44">
      <c r="A44" s="9" t="n"/>
      <c r="E44" s="3" t="n"/>
      <c r="I44" s="3" t="n"/>
    </row>
    <row r="45">
      <c r="A45" s="9" t="n"/>
      <c r="E45" s="3" t="n"/>
      <c r="I45" s="3" t="n"/>
    </row>
    <row r="46">
      <c r="A46" s="9" t="n"/>
      <c r="E46" s="3" t="n"/>
      <c r="I46" s="3" t="n"/>
    </row>
    <row r="47">
      <c r="A47" s="9" t="n"/>
      <c r="E47" s="3" t="n"/>
      <c r="I47" s="3" t="n"/>
    </row>
    <row r="48">
      <c r="A48" s="9" t="n"/>
      <c r="E48" s="3" t="n"/>
      <c r="I48" s="3" t="n"/>
    </row>
    <row r="49">
      <c r="A49" s="9" t="n"/>
      <c r="E49" s="3" t="n"/>
      <c r="I49" s="3" t="n"/>
    </row>
    <row r="50">
      <c r="A50" s="9" t="n"/>
      <c r="E50" s="3" t="n"/>
      <c r="I50" s="3" t="n"/>
    </row>
    <row r="51">
      <c r="A51" s="9" t="n"/>
      <c r="E51" s="3" t="n"/>
      <c r="I51" s="3" t="n"/>
    </row>
    <row r="52">
      <c r="A52" s="9" t="n"/>
      <c r="E52" s="3" t="n"/>
      <c r="I52" s="3" t="n"/>
    </row>
    <row r="53">
      <c r="A53" s="9" t="n"/>
      <c r="E53" s="3" t="n"/>
      <c r="I53" s="3" t="n"/>
    </row>
    <row r="54">
      <c r="A54" s="9" t="n"/>
      <c r="E54" s="3" t="n"/>
      <c r="I54" s="3" t="n"/>
    </row>
    <row r="55">
      <c r="A55" s="9" t="n"/>
      <c r="E55" s="3" t="n"/>
      <c r="I55" s="3" t="n"/>
    </row>
    <row r="56">
      <c r="A56" s="9" t="n"/>
      <c r="E56" s="3" t="n"/>
      <c r="I56" s="3" t="n"/>
    </row>
    <row r="57">
      <c r="A57" s="9" t="n"/>
      <c r="E57" s="3" t="n"/>
      <c r="I57" s="3" t="n"/>
    </row>
    <row r="58">
      <c r="A58" s="9" t="n"/>
      <c r="E58" s="3" t="n"/>
      <c r="I58" s="3" t="n"/>
    </row>
    <row r="59">
      <c r="A59" s="9" t="n"/>
      <c r="E59" s="3" t="n"/>
      <c r="I59" s="3" t="n"/>
    </row>
    <row r="60">
      <c r="A60" s="9" t="n"/>
      <c r="E60" s="3" t="n"/>
      <c r="I60" s="3" t="n"/>
    </row>
    <row r="61">
      <c r="A61" s="9" t="n"/>
      <c r="E61" s="3" t="n"/>
      <c r="I61" s="3" t="n"/>
    </row>
  </sheetData>
  <dataValidations count="4">
    <dataValidation sqref="A2:A61" showDropDown="0" showInputMessage="0" showErrorMessage="0" allowBlank="1" errorTitle="Date" error="Enter a date, for example 2024-09-01." type="date" operator="greaterThan">
      <formula1>DATE(1950,1,1)</formula1>
    </dataValidation>
    <dataValidation sqref="B2:B61" showDropDown="0" showInputMessage="0" showErrorMessage="0" allowBlank="1" type="list">
      <formula1>"Traffic citation,Parking (if asked),Arrest,Criminal charge,Civil case (party),Restraining order,Juvenile matter,Other"</formula1>
    </dataValidation>
    <dataValidation sqref="G2:G61" showDropDown="0" showInputMessage="0" showErrorMessage="0" allowBlank="1" type="list">
      <formula1>"No,Sealed,Expunged,Dismissed,Continued without a finding"</formula1>
    </dataValidation>
    <dataValidation sqref="H2:H61" showDropDown="0" showInputMessage="0" showErrorMessage="0" allowBlank="1" type="list">
      <formula1>"No,Requested,Yes"</formula1>
    </dataValidation>
  </dataValidations>
  <pageMargins left="0.75" right="0.75" top="1" bottom="1" header="0.5" footer="0.5"/>
</worksheet>
</file>

<file path=xl/worksheets/sheet7.xml><?xml version="1.0" encoding="utf-8"?>
<worksheet xmlns="http://schemas.openxmlformats.org/spreadsheetml/2006/main">
  <sheetPr>
    <tabColor rgb="001769E0"/>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24" customWidth="1" min="5" max="5"/>
    <col width="12" customWidth="1" min="6" max="6"/>
    <col width="30" customWidth="1" min="7" max="7"/>
  </cols>
  <sheetData>
    <row r="1" ht="34" customHeight="1">
      <c r="A1" s="8" t="inlineStr">
        <is>
          <t>Item</t>
        </is>
      </c>
      <c r="B1" s="8" t="inlineStr">
        <is>
          <t>Type</t>
        </is>
      </c>
      <c r="C1" s="8" t="inlineStr">
        <is>
          <t>Amount</t>
        </is>
      </c>
      <c r="D1" s="8" t="inlineStr">
        <is>
          <t>Date</t>
        </is>
      </c>
      <c r="E1" s="8" t="inlineStr">
        <is>
          <t>Current status</t>
        </is>
      </c>
      <c r="F1" s="8" t="inlineStr">
        <is>
          <t>Resolved on</t>
        </is>
      </c>
      <c r="G1" s="8" t="inlineStr">
        <is>
          <t>Notes</t>
        </is>
      </c>
    </row>
    <row r="2">
      <c r="C2" s="10" t="n"/>
      <c r="D2" s="9" t="n"/>
      <c r="F2" s="9" t="n"/>
      <c r="G2" s="3" t="n"/>
    </row>
    <row r="3">
      <c r="C3" s="10" t="n"/>
      <c r="D3" s="9" t="n"/>
      <c r="F3" s="9" t="n"/>
      <c r="G3" s="3" t="n"/>
    </row>
    <row r="4">
      <c r="C4" s="10" t="n"/>
      <c r="D4" s="9" t="n"/>
      <c r="F4" s="9" t="n"/>
      <c r="G4" s="3" t="n"/>
    </row>
    <row r="5">
      <c r="C5" s="10" t="n"/>
      <c r="D5" s="9" t="n"/>
      <c r="F5" s="9" t="n"/>
      <c r="G5" s="3" t="n"/>
    </row>
    <row r="6">
      <c r="C6" s="10" t="n"/>
      <c r="D6" s="9" t="n"/>
      <c r="F6" s="9" t="n"/>
      <c r="G6" s="3" t="n"/>
    </row>
    <row r="7">
      <c r="C7" s="10" t="n"/>
      <c r="D7" s="9" t="n"/>
      <c r="F7" s="9" t="n"/>
      <c r="G7" s="3" t="n"/>
    </row>
    <row r="8">
      <c r="C8" s="10" t="n"/>
      <c r="D8" s="9" t="n"/>
      <c r="F8" s="9" t="n"/>
      <c r="G8" s="3" t="n"/>
    </row>
    <row r="9">
      <c r="C9" s="10" t="n"/>
      <c r="D9" s="9" t="n"/>
      <c r="F9" s="9" t="n"/>
      <c r="G9" s="3" t="n"/>
    </row>
    <row r="10">
      <c r="C10" s="10" t="n"/>
      <c r="D10" s="9" t="n"/>
      <c r="F10" s="9" t="n"/>
      <c r="G10" s="3" t="n"/>
    </row>
    <row r="11">
      <c r="C11" s="10" t="n"/>
      <c r="D11" s="9" t="n"/>
      <c r="F11" s="9" t="n"/>
      <c r="G11" s="3" t="n"/>
    </row>
    <row r="12">
      <c r="C12" s="10" t="n"/>
      <c r="D12" s="9" t="n"/>
      <c r="F12" s="9" t="n"/>
      <c r="G12" s="3" t="n"/>
    </row>
    <row r="13">
      <c r="C13" s="10" t="n"/>
      <c r="D13" s="9" t="n"/>
      <c r="F13" s="9" t="n"/>
      <c r="G13" s="3" t="n"/>
    </row>
    <row r="14">
      <c r="C14" s="10" t="n"/>
      <c r="D14" s="9" t="n"/>
      <c r="F14" s="9" t="n"/>
      <c r="G14" s="3" t="n"/>
    </row>
    <row r="15">
      <c r="C15" s="10" t="n"/>
      <c r="D15" s="9" t="n"/>
      <c r="F15" s="9" t="n"/>
      <c r="G15" s="3" t="n"/>
    </row>
    <row r="16">
      <c r="C16" s="10" t="n"/>
      <c r="D16" s="9" t="n"/>
      <c r="F16" s="9" t="n"/>
      <c r="G16" s="3" t="n"/>
    </row>
    <row r="17">
      <c r="C17" s="10" t="n"/>
      <c r="D17" s="9" t="n"/>
      <c r="F17" s="9" t="n"/>
      <c r="G17" s="3" t="n"/>
    </row>
    <row r="18">
      <c r="C18" s="10" t="n"/>
      <c r="D18" s="9" t="n"/>
      <c r="F18" s="9" t="n"/>
      <c r="G18" s="3" t="n"/>
    </row>
    <row r="19">
      <c r="C19" s="10" t="n"/>
      <c r="D19" s="9" t="n"/>
      <c r="F19" s="9" t="n"/>
      <c r="G19" s="3" t="n"/>
    </row>
    <row r="20">
      <c r="C20" s="10" t="n"/>
      <c r="D20" s="9" t="n"/>
      <c r="F20" s="9" t="n"/>
      <c r="G20" s="3" t="n"/>
    </row>
    <row r="21">
      <c r="C21" s="10" t="n"/>
      <c r="D21" s="9" t="n"/>
      <c r="F21" s="9" t="n"/>
      <c r="G21" s="3" t="n"/>
    </row>
    <row r="22">
      <c r="C22" s="10" t="n"/>
      <c r="D22" s="9" t="n"/>
      <c r="F22" s="9" t="n"/>
      <c r="G22" s="3" t="n"/>
    </row>
    <row r="23">
      <c r="C23" s="10" t="n"/>
      <c r="D23" s="9" t="n"/>
      <c r="F23" s="9" t="n"/>
      <c r="G23" s="3" t="n"/>
    </row>
    <row r="24">
      <c r="C24" s="10" t="n"/>
      <c r="D24" s="9" t="n"/>
      <c r="F24" s="9" t="n"/>
      <c r="G24" s="3" t="n"/>
    </row>
    <row r="25">
      <c r="C25" s="10" t="n"/>
      <c r="D25" s="9" t="n"/>
      <c r="F25" s="9" t="n"/>
      <c r="G25" s="3" t="n"/>
    </row>
    <row r="26">
      <c r="C26" s="10" t="n"/>
      <c r="D26" s="9" t="n"/>
      <c r="F26" s="9" t="n"/>
      <c r="G26" s="3" t="n"/>
    </row>
    <row r="27">
      <c r="C27" s="10" t="n"/>
      <c r="D27" s="9" t="n"/>
      <c r="F27" s="9" t="n"/>
      <c r="G27" s="3" t="n"/>
    </row>
    <row r="28">
      <c r="C28" s="10" t="n"/>
      <c r="D28" s="9" t="n"/>
      <c r="F28" s="9" t="n"/>
      <c r="G28" s="3" t="n"/>
    </row>
    <row r="29">
      <c r="C29" s="10" t="n"/>
      <c r="D29" s="9" t="n"/>
      <c r="F29" s="9" t="n"/>
      <c r="G29" s="3" t="n"/>
    </row>
    <row r="30">
      <c r="C30" s="10" t="n"/>
      <c r="D30" s="9" t="n"/>
      <c r="F30" s="9" t="n"/>
      <c r="G30" s="3" t="n"/>
    </row>
    <row r="31">
      <c r="C31" s="10" t="n"/>
      <c r="D31" s="9" t="n"/>
      <c r="F31" s="9" t="n"/>
      <c r="G31" s="3" t="n"/>
    </row>
    <row r="32">
      <c r="C32" s="10" t="n"/>
      <c r="D32" s="9" t="n"/>
      <c r="F32" s="9" t="n"/>
      <c r="G32" s="3" t="n"/>
    </row>
    <row r="33">
      <c r="C33" s="10" t="n"/>
      <c r="D33" s="9" t="n"/>
      <c r="F33" s="9" t="n"/>
      <c r="G33" s="3" t="n"/>
    </row>
    <row r="34">
      <c r="C34" s="10" t="n"/>
      <c r="D34" s="9" t="n"/>
      <c r="F34" s="9" t="n"/>
      <c r="G34" s="3" t="n"/>
    </row>
    <row r="35">
      <c r="C35" s="10" t="n"/>
      <c r="D35" s="9" t="n"/>
      <c r="F35" s="9" t="n"/>
      <c r="G35" s="3" t="n"/>
    </row>
    <row r="36">
      <c r="C36" s="10" t="n"/>
      <c r="D36" s="9" t="n"/>
      <c r="F36" s="9" t="n"/>
      <c r="G36" s="3" t="n"/>
    </row>
    <row r="37">
      <c r="C37" s="10" t="n"/>
      <c r="D37" s="9" t="n"/>
      <c r="F37" s="9" t="n"/>
      <c r="G37" s="3" t="n"/>
    </row>
    <row r="38">
      <c r="C38" s="10" t="n"/>
      <c r="D38" s="9" t="n"/>
      <c r="F38" s="9" t="n"/>
      <c r="G38" s="3" t="n"/>
    </row>
    <row r="39">
      <c r="C39" s="10" t="n"/>
      <c r="D39" s="9" t="n"/>
      <c r="F39" s="9" t="n"/>
      <c r="G39" s="3" t="n"/>
    </row>
    <row r="40">
      <c r="C40" s="10" t="n"/>
      <c r="D40" s="9" t="n"/>
      <c r="F40" s="9" t="n"/>
      <c r="G40" s="3" t="n"/>
    </row>
    <row r="41">
      <c r="C41" s="10" t="n"/>
      <c r="D41" s="9" t="n"/>
      <c r="F41" s="9" t="n"/>
      <c r="G41" s="3" t="n"/>
    </row>
    <row r="42">
      <c r="C42" s="10" t="n"/>
      <c r="D42" s="9" t="n"/>
      <c r="F42" s="9" t="n"/>
      <c r="G42" s="3" t="n"/>
    </row>
    <row r="43">
      <c r="C43" s="10" t="n"/>
      <c r="D43" s="9" t="n"/>
      <c r="F43" s="9" t="n"/>
      <c r="G43" s="3" t="n"/>
    </row>
    <row r="44">
      <c r="C44" s="10" t="n"/>
      <c r="D44" s="9" t="n"/>
      <c r="F44" s="9" t="n"/>
      <c r="G44" s="3" t="n"/>
    </row>
    <row r="45">
      <c r="C45" s="10" t="n"/>
      <c r="D45" s="9" t="n"/>
      <c r="F45" s="9" t="n"/>
      <c r="G45" s="3" t="n"/>
    </row>
    <row r="46">
      <c r="C46" s="10" t="n"/>
      <c r="D46" s="9" t="n"/>
      <c r="F46" s="9" t="n"/>
      <c r="G46" s="3" t="n"/>
    </row>
    <row r="47">
      <c r="C47" s="10" t="n"/>
      <c r="D47" s="9" t="n"/>
      <c r="F47" s="9" t="n"/>
      <c r="G47" s="3" t="n"/>
    </row>
    <row r="48">
      <c r="C48" s="10" t="n"/>
      <c r="D48" s="9" t="n"/>
      <c r="F48" s="9" t="n"/>
      <c r="G48" s="3" t="n"/>
    </row>
    <row r="49">
      <c r="C49" s="10" t="n"/>
      <c r="D49" s="9" t="n"/>
      <c r="F49" s="9" t="n"/>
      <c r="G49" s="3" t="n"/>
    </row>
    <row r="50">
      <c r="C50" s="10" t="n"/>
      <c r="D50" s="9" t="n"/>
      <c r="F50" s="9" t="n"/>
      <c r="G50" s="3" t="n"/>
    </row>
    <row r="51">
      <c r="C51" s="10" t="n"/>
      <c r="D51" s="9" t="n"/>
      <c r="F51" s="9" t="n"/>
      <c r="G51" s="3" t="n"/>
    </row>
    <row r="52">
      <c r="C52" s="10" t="n"/>
      <c r="D52" s="9" t="n"/>
      <c r="F52" s="9" t="n"/>
      <c r="G52" s="3" t="n"/>
    </row>
    <row r="53">
      <c r="C53" s="10" t="n"/>
      <c r="D53" s="9" t="n"/>
      <c r="F53" s="9" t="n"/>
      <c r="G53" s="3" t="n"/>
    </row>
    <row r="54">
      <c r="C54" s="10" t="n"/>
      <c r="D54" s="9" t="n"/>
      <c r="F54" s="9" t="n"/>
      <c r="G54" s="3" t="n"/>
    </row>
    <row r="55">
      <c r="C55" s="10" t="n"/>
      <c r="D55" s="9" t="n"/>
      <c r="F55" s="9" t="n"/>
      <c r="G55" s="3" t="n"/>
    </row>
    <row r="56">
      <c r="C56" s="10" t="n"/>
      <c r="D56" s="9" t="n"/>
      <c r="F56" s="9" t="n"/>
      <c r="G56" s="3" t="n"/>
    </row>
    <row r="57">
      <c r="C57" s="10" t="n"/>
      <c r="D57" s="9" t="n"/>
      <c r="F57" s="9" t="n"/>
      <c r="G57" s="3" t="n"/>
    </row>
    <row r="58">
      <c r="C58" s="10" t="n"/>
      <c r="D58" s="9" t="n"/>
      <c r="F58" s="9" t="n"/>
      <c r="G58" s="3" t="n"/>
    </row>
    <row r="59">
      <c r="C59" s="10" t="n"/>
      <c r="D59" s="9" t="n"/>
      <c r="F59" s="9" t="n"/>
      <c r="G59" s="3" t="n"/>
    </row>
    <row r="60">
      <c r="C60" s="10" t="n"/>
      <c r="D60" s="9" t="n"/>
      <c r="F60" s="9" t="n"/>
      <c r="G60" s="3" t="n"/>
    </row>
    <row r="61">
      <c r="C61" s="10" t="n"/>
      <c r="D61" s="9" t="n"/>
      <c r="F61" s="9" t="n"/>
      <c r="G61" s="3" t="n"/>
    </row>
  </sheetData>
  <dataValidations count="3">
    <dataValidation sqref="B2:B61" showDropDown="0" showInputMessage="0" showErrorMessage="0" allowBlank="1" type="list">
      <formula1>"Collections,Default,Judgment,Bankruptcy,Tax issue,Student loan,Other"</formula1>
    </dataValidation>
    <dataValidation sqref="D2:D61" showDropDown="0" showInputMessage="0" showErrorMessage="0" allowBlank="1" errorTitle="Date" error="Enter a date, for example 2024-09-01." type="date" operator="greaterThan">
      <formula1>DATE(1950,1,1)</formula1>
    </dataValidation>
    <dataValidation sqref="F2:F61" showDropDown="0" showInputMessage="0" showErrorMessage="0" allowBlank="1" errorTitle="Date" error="Enter a date, for example 2024-09-01." type="date" operator="greaterThan">
      <formula1>DATE(1950,1,1)</formula1>
    </dataValidation>
  </dataValidations>
  <pageMargins left="0.75" right="0.75" top="1" bottom="1" header="0.5" footer="0.5"/>
</worksheet>
</file>

<file path=xl/worksheets/sheet8.xml><?xml version="1.0" encoding="utf-8"?>
<worksheet xmlns="http://schemas.openxmlformats.org/spreadsheetml/2006/main">
  <sheetPr>
    <tabColor rgb="001769E0"/>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2" customWidth="1" min="5" max="5"/>
    <col width="14" customWidth="1" min="6" max="6"/>
    <col width="30" customWidth="1" min="7" max="7"/>
  </cols>
  <sheetData>
    <row r="1" ht="34" customHeight="1">
      <c r="A1" s="8" t="inlineStr">
        <is>
          <t>Type</t>
        </is>
      </c>
      <c r="B1" s="8" t="inlineStr">
        <is>
          <t>State or issuer</t>
        </is>
      </c>
      <c r="C1" s="8" t="inlineStr">
        <is>
          <t>Number (last 4 only)</t>
        </is>
      </c>
      <c r="D1" s="8" t="inlineStr">
        <is>
          <t>Issued</t>
        </is>
      </c>
      <c r="E1" s="8" t="inlineStr">
        <is>
          <t>Expires</t>
        </is>
      </c>
      <c r="F1" s="8" t="inlineStr">
        <is>
          <t>Status</t>
        </is>
      </c>
      <c r="G1" s="8" t="inlineStr">
        <is>
          <t>Notes</t>
        </is>
      </c>
    </row>
    <row r="2">
      <c r="D2" s="9" t="n"/>
      <c r="E2" s="9" t="n"/>
      <c r="G2" s="3" t="n"/>
    </row>
    <row r="3">
      <c r="D3" s="9" t="n"/>
      <c r="E3" s="9" t="n"/>
      <c r="G3" s="3" t="n"/>
    </row>
    <row r="4">
      <c r="D4" s="9" t="n"/>
      <c r="E4" s="9" t="n"/>
      <c r="G4" s="3" t="n"/>
    </row>
    <row r="5">
      <c r="D5" s="9" t="n"/>
      <c r="E5" s="9" t="n"/>
      <c r="G5" s="3" t="n"/>
    </row>
    <row r="6">
      <c r="D6" s="9" t="n"/>
      <c r="E6" s="9" t="n"/>
      <c r="G6" s="3" t="n"/>
    </row>
    <row r="7">
      <c r="D7" s="9" t="n"/>
      <c r="E7" s="9" t="n"/>
      <c r="G7" s="3" t="n"/>
    </row>
    <row r="8">
      <c r="D8" s="9" t="n"/>
      <c r="E8" s="9" t="n"/>
      <c r="G8" s="3" t="n"/>
    </row>
    <row r="9">
      <c r="D9" s="9" t="n"/>
      <c r="E9" s="9" t="n"/>
      <c r="G9" s="3" t="n"/>
    </row>
    <row r="10">
      <c r="D10" s="9" t="n"/>
      <c r="E10" s="9" t="n"/>
      <c r="G10" s="3" t="n"/>
    </row>
    <row r="11">
      <c r="D11" s="9" t="n"/>
      <c r="E11" s="9" t="n"/>
      <c r="G11" s="3" t="n"/>
    </row>
    <row r="12">
      <c r="D12" s="9" t="n"/>
      <c r="E12" s="9" t="n"/>
      <c r="G12" s="3" t="n"/>
    </row>
    <row r="13">
      <c r="D13" s="9" t="n"/>
      <c r="E13" s="9" t="n"/>
      <c r="G13" s="3" t="n"/>
    </row>
    <row r="14">
      <c r="D14" s="9" t="n"/>
      <c r="E14" s="9" t="n"/>
      <c r="G14" s="3" t="n"/>
    </row>
    <row r="15">
      <c r="D15" s="9" t="n"/>
      <c r="E15" s="9" t="n"/>
      <c r="G15" s="3" t="n"/>
    </row>
    <row r="16">
      <c r="D16" s="9" t="n"/>
      <c r="E16" s="9" t="n"/>
      <c r="G16" s="3" t="n"/>
    </row>
    <row r="17">
      <c r="D17" s="9" t="n"/>
      <c r="E17" s="9" t="n"/>
      <c r="G17" s="3" t="n"/>
    </row>
    <row r="18">
      <c r="D18" s="9" t="n"/>
      <c r="E18" s="9" t="n"/>
      <c r="G18" s="3" t="n"/>
    </row>
    <row r="19">
      <c r="D19" s="9" t="n"/>
      <c r="E19" s="9" t="n"/>
      <c r="G19" s="3" t="n"/>
    </row>
    <row r="20">
      <c r="D20" s="9" t="n"/>
      <c r="E20" s="9" t="n"/>
      <c r="G20" s="3" t="n"/>
    </row>
    <row r="21">
      <c r="D21" s="9" t="n"/>
      <c r="E21" s="9" t="n"/>
      <c r="G21" s="3" t="n"/>
    </row>
    <row r="22">
      <c r="D22" s="9" t="n"/>
      <c r="E22" s="9" t="n"/>
      <c r="G22" s="3" t="n"/>
    </row>
    <row r="23">
      <c r="D23" s="9" t="n"/>
      <c r="E23" s="9" t="n"/>
      <c r="G23" s="3" t="n"/>
    </row>
    <row r="24">
      <c r="D24" s="9" t="n"/>
      <c r="E24" s="9" t="n"/>
      <c r="G24" s="3" t="n"/>
    </row>
    <row r="25">
      <c r="D25" s="9" t="n"/>
      <c r="E25" s="9" t="n"/>
      <c r="G25" s="3" t="n"/>
    </row>
    <row r="26">
      <c r="D26" s="9" t="n"/>
      <c r="E26" s="9" t="n"/>
      <c r="G26" s="3" t="n"/>
    </row>
    <row r="27">
      <c r="D27" s="9" t="n"/>
      <c r="E27" s="9" t="n"/>
      <c r="G27" s="3" t="n"/>
    </row>
    <row r="28">
      <c r="D28" s="9" t="n"/>
      <c r="E28" s="9" t="n"/>
      <c r="G28" s="3" t="n"/>
    </row>
    <row r="29">
      <c r="D29" s="9" t="n"/>
      <c r="E29" s="9" t="n"/>
      <c r="G29" s="3" t="n"/>
    </row>
    <row r="30">
      <c r="D30" s="9" t="n"/>
      <c r="E30" s="9" t="n"/>
      <c r="G30" s="3" t="n"/>
    </row>
    <row r="31">
      <c r="D31" s="9" t="n"/>
      <c r="E31" s="9" t="n"/>
      <c r="G31" s="3" t="n"/>
    </row>
    <row r="32">
      <c r="D32" s="9" t="n"/>
      <c r="E32" s="9" t="n"/>
      <c r="G32" s="3" t="n"/>
    </row>
    <row r="33">
      <c r="D33" s="9" t="n"/>
      <c r="E33" s="9" t="n"/>
      <c r="G33" s="3" t="n"/>
    </row>
    <row r="34">
      <c r="D34" s="9" t="n"/>
      <c r="E34" s="9" t="n"/>
      <c r="G34" s="3" t="n"/>
    </row>
    <row r="35">
      <c r="D35" s="9" t="n"/>
      <c r="E35" s="9" t="n"/>
      <c r="G35" s="3" t="n"/>
    </row>
    <row r="36">
      <c r="D36" s="9" t="n"/>
      <c r="E36" s="9" t="n"/>
      <c r="G36" s="3" t="n"/>
    </row>
    <row r="37">
      <c r="D37" s="9" t="n"/>
      <c r="E37" s="9" t="n"/>
      <c r="G37" s="3" t="n"/>
    </row>
    <row r="38">
      <c r="D38" s="9" t="n"/>
      <c r="E38" s="9" t="n"/>
      <c r="G38" s="3" t="n"/>
    </row>
    <row r="39">
      <c r="D39" s="9" t="n"/>
      <c r="E39" s="9" t="n"/>
      <c r="G39" s="3" t="n"/>
    </row>
    <row r="40">
      <c r="D40" s="9" t="n"/>
      <c r="E40" s="9" t="n"/>
      <c r="G40" s="3" t="n"/>
    </row>
    <row r="41">
      <c r="D41" s="9" t="n"/>
      <c r="E41" s="9" t="n"/>
      <c r="G41" s="3" t="n"/>
    </row>
    <row r="42">
      <c r="D42" s="9" t="n"/>
      <c r="E42" s="9" t="n"/>
      <c r="G42" s="3" t="n"/>
    </row>
    <row r="43">
      <c r="D43" s="9" t="n"/>
      <c r="E43" s="9" t="n"/>
      <c r="G43" s="3" t="n"/>
    </row>
    <row r="44">
      <c r="D44" s="9" t="n"/>
      <c r="E44" s="9" t="n"/>
      <c r="G44" s="3" t="n"/>
    </row>
    <row r="45">
      <c r="D45" s="9" t="n"/>
      <c r="E45" s="9" t="n"/>
      <c r="G45" s="3" t="n"/>
    </row>
    <row r="46">
      <c r="D46" s="9" t="n"/>
      <c r="E46" s="9" t="n"/>
      <c r="G46" s="3" t="n"/>
    </row>
    <row r="47">
      <c r="D47" s="9" t="n"/>
      <c r="E47" s="9" t="n"/>
      <c r="G47" s="3" t="n"/>
    </row>
    <row r="48">
      <c r="D48" s="9" t="n"/>
      <c r="E48" s="9" t="n"/>
      <c r="G48" s="3" t="n"/>
    </row>
    <row r="49">
      <c r="D49" s="9" t="n"/>
      <c r="E49" s="9" t="n"/>
      <c r="G49" s="3" t="n"/>
    </row>
    <row r="50">
      <c r="D50" s="9" t="n"/>
      <c r="E50" s="9" t="n"/>
      <c r="G50" s="3" t="n"/>
    </row>
    <row r="51">
      <c r="D51" s="9" t="n"/>
      <c r="E51" s="9" t="n"/>
      <c r="G51" s="3" t="n"/>
    </row>
    <row r="52">
      <c r="D52" s="9" t="n"/>
      <c r="E52" s="9" t="n"/>
      <c r="G52" s="3" t="n"/>
    </row>
    <row r="53">
      <c r="D53" s="9" t="n"/>
      <c r="E53" s="9" t="n"/>
      <c r="G53" s="3" t="n"/>
    </row>
    <row r="54">
      <c r="D54" s="9" t="n"/>
      <c r="E54" s="9" t="n"/>
      <c r="G54" s="3" t="n"/>
    </row>
    <row r="55">
      <c r="D55" s="9" t="n"/>
      <c r="E55" s="9" t="n"/>
      <c r="G55" s="3" t="n"/>
    </row>
    <row r="56">
      <c r="D56" s="9" t="n"/>
      <c r="E56" s="9" t="n"/>
      <c r="G56" s="3" t="n"/>
    </row>
    <row r="57">
      <c r="D57" s="9" t="n"/>
      <c r="E57" s="9" t="n"/>
      <c r="G57" s="3" t="n"/>
    </row>
    <row r="58">
      <c r="D58" s="9" t="n"/>
      <c r="E58" s="9" t="n"/>
      <c r="G58" s="3" t="n"/>
    </row>
    <row r="59">
      <c r="D59" s="9" t="n"/>
      <c r="E59" s="9" t="n"/>
      <c r="G59" s="3" t="n"/>
    </row>
    <row r="60">
      <c r="D60" s="9" t="n"/>
      <c r="E60" s="9" t="n"/>
      <c r="G60" s="3" t="n"/>
    </row>
    <row r="61">
      <c r="D61" s="9" t="n"/>
      <c r="E61" s="9" t="n"/>
      <c r="G61" s="3" t="n"/>
    </row>
  </sheetData>
  <dataValidations count="4">
    <dataValidation sqref="A2:A61" showDropDown="0" showInputMessage="0" showErrorMessage="0" allowBlank="1" type="list">
      <formula1>"Driver's license,Professional license,Other"</formula1>
    </dataValidation>
    <dataValidation sqref="D2:D61" showDropDown="0" showInputMessage="0" showErrorMessage="0" allowBlank="1" errorTitle="Date" error="Enter a date, for example 2024-09-01." type="date" operator="greaterThan">
      <formula1>DATE(1950,1,1)</formula1>
    </dataValidation>
    <dataValidation sqref="E2:E61" showDropDown="0" showInputMessage="0" showErrorMessage="0" allowBlank="1" errorTitle="Date" error="Enter a date, for example 2024-09-01." type="date" operator="greaterThan">
      <formula1>DATE(1950,1,1)</formula1>
    </dataValidation>
    <dataValidation sqref="F2:F61" showDropDown="0" showInputMessage="0" showErrorMessage="0" allowBlank="1" type="list">
      <formula1>"Active,Expired,Suspended,Revoked,Surrendered"</formula1>
    </dataValidation>
  </dataValidations>
  <pageMargins left="0.75" right="0.75" top="1" bottom="1" header="0.5" footer="0.5"/>
</worksheet>
</file>

<file path=xl/worksheets/sheet9.xml><?xml version="1.0" encoding="utf-8"?>
<worksheet xmlns="http://schemas.openxmlformats.org/spreadsheetml/2006/main">
  <sheetPr>
    <tabColor rgb="001769E0"/>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5" customWidth="1" min="4" max="4"/>
    <col width="26" customWidth="1" min="5" max="5"/>
    <col width="12" customWidth="1" min="6" max="6"/>
    <col width="10" customWidth="1" min="7" max="7"/>
  </cols>
  <sheetData>
    <row r="1" ht="34" customHeight="1">
      <c r="A1" s="8" t="inlineStr">
        <is>
          <t>Name</t>
        </is>
      </c>
      <c r="B1" s="8" t="inlineStr">
        <is>
          <t>Relationship</t>
        </is>
      </c>
      <c r="C1" s="8" t="inlineStr">
        <is>
          <t>Years known</t>
        </is>
      </c>
      <c r="D1" s="8" t="inlineStr">
        <is>
          <t>Phone</t>
        </is>
      </c>
      <c r="E1" s="8" t="inlineStr">
        <is>
          <t>Email</t>
        </is>
      </c>
      <c r="F1" s="8" t="inlineStr">
        <is>
          <t>Asked on</t>
        </is>
      </c>
      <c r="G1" s="8" t="inlineStr">
        <is>
          <t>Agreed?</t>
        </is>
      </c>
    </row>
    <row r="2">
      <c r="F2" s="9" t="n"/>
    </row>
    <row r="3">
      <c r="F3" s="9" t="n"/>
    </row>
    <row r="4">
      <c r="F4" s="9" t="n"/>
    </row>
    <row r="5">
      <c r="F5" s="9" t="n"/>
    </row>
    <row r="6">
      <c r="F6" s="9" t="n"/>
    </row>
    <row r="7">
      <c r="F7" s="9" t="n"/>
    </row>
    <row r="8">
      <c r="F8" s="9" t="n"/>
    </row>
    <row r="9">
      <c r="F9" s="9" t="n"/>
    </row>
    <row r="10">
      <c r="F10" s="9" t="n"/>
    </row>
    <row r="11">
      <c r="F11" s="9" t="n"/>
    </row>
    <row r="12">
      <c r="F12" s="9" t="n"/>
    </row>
    <row r="13">
      <c r="F13" s="9" t="n"/>
    </row>
    <row r="14">
      <c r="F14" s="9" t="n"/>
    </row>
    <row r="15">
      <c r="F15" s="9" t="n"/>
    </row>
    <row r="16">
      <c r="F16" s="9" t="n"/>
    </row>
    <row r="17">
      <c r="F17" s="9" t="n"/>
    </row>
    <row r="18">
      <c r="F18" s="9" t="n"/>
    </row>
    <row r="19">
      <c r="F19" s="9" t="n"/>
    </row>
    <row r="20">
      <c r="F20" s="9" t="n"/>
    </row>
    <row r="21">
      <c r="F21" s="9" t="n"/>
    </row>
    <row r="22">
      <c r="F22" s="9" t="n"/>
    </row>
    <row r="23">
      <c r="F23" s="9" t="n"/>
    </row>
    <row r="24">
      <c r="F24" s="9" t="n"/>
    </row>
    <row r="25">
      <c r="F25" s="9" t="n"/>
    </row>
    <row r="26">
      <c r="F26" s="9" t="n"/>
    </row>
    <row r="27">
      <c r="F27" s="9" t="n"/>
    </row>
    <row r="28">
      <c r="F28" s="9" t="n"/>
    </row>
    <row r="29">
      <c r="F29" s="9" t="n"/>
    </row>
    <row r="30">
      <c r="F30" s="9" t="n"/>
    </row>
    <row r="31">
      <c r="F31" s="9" t="n"/>
    </row>
    <row r="32">
      <c r="F32" s="9" t="n"/>
    </row>
    <row r="33">
      <c r="F33" s="9" t="n"/>
    </row>
    <row r="34">
      <c r="F34" s="9" t="n"/>
    </row>
    <row r="35">
      <c r="F35" s="9" t="n"/>
    </row>
    <row r="36">
      <c r="F36" s="9" t="n"/>
    </row>
    <row r="37">
      <c r="F37" s="9" t="n"/>
    </row>
    <row r="38">
      <c r="F38" s="9" t="n"/>
    </row>
    <row r="39">
      <c r="F39" s="9" t="n"/>
    </row>
    <row r="40">
      <c r="F40" s="9" t="n"/>
    </row>
    <row r="41">
      <c r="F41" s="9" t="n"/>
    </row>
    <row r="42">
      <c r="F42" s="9" t="n"/>
    </row>
    <row r="43">
      <c r="F43" s="9" t="n"/>
    </row>
    <row r="44">
      <c r="F44" s="9" t="n"/>
    </row>
    <row r="45">
      <c r="F45" s="9" t="n"/>
    </row>
    <row r="46">
      <c r="F46" s="9" t="n"/>
    </row>
    <row r="47">
      <c r="F47" s="9" t="n"/>
    </row>
    <row r="48">
      <c r="F48" s="9" t="n"/>
    </row>
    <row r="49">
      <c r="F49" s="9" t="n"/>
    </row>
    <row r="50">
      <c r="F50" s="9" t="n"/>
    </row>
    <row r="51">
      <c r="F51" s="9" t="n"/>
    </row>
    <row r="52">
      <c r="F52" s="9" t="n"/>
    </row>
    <row r="53">
      <c r="F53" s="9" t="n"/>
    </row>
    <row r="54">
      <c r="F54" s="9" t="n"/>
    </row>
    <row r="55">
      <c r="F55" s="9" t="n"/>
    </row>
    <row r="56">
      <c r="F56" s="9" t="n"/>
    </row>
    <row r="57">
      <c r="F57" s="9" t="n"/>
    </row>
    <row r="58">
      <c r="F58" s="9" t="n"/>
    </row>
    <row r="59">
      <c r="F59" s="9" t="n"/>
    </row>
    <row r="60">
      <c r="F60" s="9" t="n"/>
    </row>
    <row r="61">
      <c r="F61" s="9" t="n"/>
    </row>
  </sheetData>
  <dataValidations count="2">
    <dataValidation sqref="F2:F61" showDropDown="0" showInputMessage="0" showErrorMessage="0" allowBlank="1" errorTitle="Date" error="Enter a date, for example 2024-09-01." type="date" operator="greaterThan">
      <formula1>DATE(1950,1,1)</formula1>
    </dataValidation>
    <dataValidation sqref="G2:G61" showDropDown="0" showInputMessage="0" showErrorMessage="0" allowBlank="1" type="list">
      <formula1>"Yes,No,Waiting"</formula1>
    </dataValidation>
  </dataValidations>
  <pageMargins left="0.75" right="0.75" top="1" bottom="1" header="0.5" footer="0.5"/>
</worksheet>
</file>

<file path=xl/worksheets/sheet10.xml><?xml version="1.0" encoding="utf-8"?>
<worksheet xmlns="http://schemas.openxmlformats.org/spreadsheetml/2006/main">
  <sheetPr>
    <tabColor rgb="001769E0"/>
    <outlinePr summaryBelow="1" summaryRight="1"/>
    <pageSetUpPr/>
  </sheetPr>
  <dimension ref="A1:F61"/>
  <sheetViews>
    <sheetView workbookViewId="0">
      <pane ySplit="1" topLeftCell="A2" activePane="bottomLeft" state="frozen"/>
      <selection pane="bottomLeft" activeCell="A1" sqref="A1"/>
    </sheetView>
  </sheetViews>
  <sheetFormatPr baseColWidth="8" defaultRowHeight="15"/>
  <cols>
    <col width="40" customWidth="1" min="1" max="1"/>
    <col width="28" customWidth="1" min="2" max="2"/>
    <col width="28" customWidth="1" min="3" max="3"/>
    <col width="14" customWidth="1" min="4" max="4"/>
    <col width="14" customWidth="1" min="5" max="5"/>
    <col width="30" customWidth="1" min="6" max="6"/>
  </cols>
  <sheetData>
    <row r="1" ht="34" customHeight="1">
      <c r="A1" s="8" t="inlineStr">
        <is>
          <t>Question on your law school application</t>
        </is>
      </c>
      <c r="B1" s="8" t="inlineStr">
        <is>
          <t>What you answered then</t>
        </is>
      </c>
      <c r="C1" s="8" t="inlineStr">
        <is>
          <t>What your records show now</t>
        </is>
      </c>
      <c r="D1" s="8" t="inlineStr">
        <is>
          <t>Match or amend?</t>
        </is>
      </c>
      <c r="E1" s="8" t="inlineStr">
        <is>
          <t>Amendment filed on</t>
        </is>
      </c>
      <c r="F1" s="8" t="inlineStr">
        <is>
          <t>Notes</t>
        </is>
      </c>
    </row>
    <row r="2">
      <c r="A2" s="3" t="n"/>
      <c r="B2" s="3" t="n"/>
      <c r="C2" s="3" t="n"/>
      <c r="E2" s="9" t="n"/>
      <c r="F2" s="3" t="n"/>
    </row>
    <row r="3">
      <c r="A3" s="3" t="n"/>
      <c r="B3" s="3" t="n"/>
      <c r="C3" s="3" t="n"/>
      <c r="E3" s="9" t="n"/>
      <c r="F3" s="3" t="n"/>
    </row>
    <row r="4">
      <c r="A4" s="3" t="n"/>
      <c r="B4" s="3" t="n"/>
      <c r="C4" s="3" t="n"/>
      <c r="E4" s="9" t="n"/>
      <c r="F4" s="3" t="n"/>
    </row>
    <row r="5">
      <c r="A5" s="3" t="n"/>
      <c r="B5" s="3" t="n"/>
      <c r="C5" s="3" t="n"/>
      <c r="E5" s="9" t="n"/>
      <c r="F5" s="3" t="n"/>
    </row>
    <row r="6">
      <c r="A6" s="3" t="n"/>
      <c r="B6" s="3" t="n"/>
      <c r="C6" s="3" t="n"/>
      <c r="E6" s="9" t="n"/>
      <c r="F6" s="3" t="n"/>
    </row>
    <row r="7">
      <c r="A7" s="3" t="n"/>
      <c r="B7" s="3" t="n"/>
      <c r="C7" s="3" t="n"/>
      <c r="E7" s="9" t="n"/>
      <c r="F7" s="3" t="n"/>
    </row>
    <row r="8">
      <c r="A8" s="3" t="n"/>
      <c r="B8" s="3" t="n"/>
      <c r="C8" s="3" t="n"/>
      <c r="E8" s="9" t="n"/>
      <c r="F8" s="3" t="n"/>
    </row>
    <row r="9">
      <c r="A9" s="3" t="n"/>
      <c r="B9" s="3" t="n"/>
      <c r="C9" s="3" t="n"/>
      <c r="E9" s="9" t="n"/>
      <c r="F9" s="3" t="n"/>
    </row>
    <row r="10">
      <c r="A10" s="3" t="n"/>
      <c r="B10" s="3" t="n"/>
      <c r="C10" s="3" t="n"/>
      <c r="E10" s="9" t="n"/>
      <c r="F10" s="3" t="n"/>
    </row>
    <row r="11">
      <c r="A11" s="3" t="n"/>
      <c r="B11" s="3" t="n"/>
      <c r="C11" s="3" t="n"/>
      <c r="E11" s="9" t="n"/>
      <c r="F11" s="3" t="n"/>
    </row>
    <row r="12">
      <c r="A12" s="3" t="n"/>
      <c r="B12" s="3" t="n"/>
      <c r="C12" s="3" t="n"/>
      <c r="E12" s="9" t="n"/>
      <c r="F12" s="3" t="n"/>
    </row>
    <row r="13">
      <c r="A13" s="3" t="n"/>
      <c r="B13" s="3" t="n"/>
      <c r="C13" s="3" t="n"/>
      <c r="E13" s="9" t="n"/>
      <c r="F13" s="3" t="n"/>
    </row>
    <row r="14">
      <c r="A14" s="3" t="n"/>
      <c r="B14" s="3" t="n"/>
      <c r="C14" s="3" t="n"/>
      <c r="E14" s="9" t="n"/>
      <c r="F14" s="3" t="n"/>
    </row>
    <row r="15">
      <c r="A15" s="3" t="n"/>
      <c r="B15" s="3" t="n"/>
      <c r="C15" s="3" t="n"/>
      <c r="E15" s="9" t="n"/>
      <c r="F15" s="3" t="n"/>
    </row>
    <row r="16">
      <c r="A16" s="3" t="n"/>
      <c r="B16" s="3" t="n"/>
      <c r="C16" s="3" t="n"/>
      <c r="E16" s="9" t="n"/>
      <c r="F16" s="3" t="n"/>
    </row>
    <row r="17">
      <c r="A17" s="3" t="n"/>
      <c r="B17" s="3" t="n"/>
      <c r="C17" s="3" t="n"/>
      <c r="E17" s="9" t="n"/>
      <c r="F17" s="3" t="n"/>
    </row>
    <row r="18">
      <c r="A18" s="3" t="n"/>
      <c r="B18" s="3" t="n"/>
      <c r="C18" s="3" t="n"/>
      <c r="E18" s="9" t="n"/>
      <c r="F18" s="3" t="n"/>
    </row>
    <row r="19">
      <c r="A19" s="3" t="n"/>
      <c r="B19" s="3" t="n"/>
      <c r="C19" s="3" t="n"/>
      <c r="E19" s="9" t="n"/>
      <c r="F19" s="3" t="n"/>
    </row>
    <row r="20">
      <c r="A20" s="3" t="n"/>
      <c r="B20" s="3" t="n"/>
      <c r="C20" s="3" t="n"/>
      <c r="E20" s="9" t="n"/>
      <c r="F20" s="3" t="n"/>
    </row>
    <row r="21">
      <c r="A21" s="3" t="n"/>
      <c r="B21" s="3" t="n"/>
      <c r="C21" s="3" t="n"/>
      <c r="E21" s="9" t="n"/>
      <c r="F21" s="3" t="n"/>
    </row>
    <row r="22">
      <c r="A22" s="3" t="n"/>
      <c r="B22" s="3" t="n"/>
      <c r="C22" s="3" t="n"/>
      <c r="E22" s="9" t="n"/>
      <c r="F22" s="3" t="n"/>
    </row>
    <row r="23">
      <c r="A23" s="3" t="n"/>
      <c r="B23" s="3" t="n"/>
      <c r="C23" s="3" t="n"/>
      <c r="E23" s="9" t="n"/>
      <c r="F23" s="3" t="n"/>
    </row>
    <row r="24">
      <c r="A24" s="3" t="n"/>
      <c r="B24" s="3" t="n"/>
      <c r="C24" s="3" t="n"/>
      <c r="E24" s="9" t="n"/>
      <c r="F24" s="3" t="n"/>
    </row>
    <row r="25">
      <c r="A25" s="3" t="n"/>
      <c r="B25" s="3" t="n"/>
      <c r="C25" s="3" t="n"/>
      <c r="E25" s="9" t="n"/>
      <c r="F25" s="3" t="n"/>
    </row>
    <row r="26">
      <c r="A26" s="3" t="n"/>
      <c r="B26" s="3" t="n"/>
      <c r="C26" s="3" t="n"/>
      <c r="E26" s="9" t="n"/>
      <c r="F26" s="3" t="n"/>
    </row>
    <row r="27">
      <c r="A27" s="3" t="n"/>
      <c r="B27" s="3" t="n"/>
      <c r="C27" s="3" t="n"/>
      <c r="E27" s="9" t="n"/>
      <c r="F27" s="3" t="n"/>
    </row>
    <row r="28">
      <c r="A28" s="3" t="n"/>
      <c r="B28" s="3" t="n"/>
      <c r="C28" s="3" t="n"/>
      <c r="E28" s="9" t="n"/>
      <c r="F28" s="3" t="n"/>
    </row>
    <row r="29">
      <c r="A29" s="3" t="n"/>
      <c r="B29" s="3" t="n"/>
      <c r="C29" s="3" t="n"/>
      <c r="E29" s="9" t="n"/>
      <c r="F29" s="3" t="n"/>
    </row>
    <row r="30">
      <c r="A30" s="3" t="n"/>
      <c r="B30" s="3" t="n"/>
      <c r="C30" s="3" t="n"/>
      <c r="E30" s="9" t="n"/>
      <c r="F30" s="3" t="n"/>
    </row>
    <row r="31">
      <c r="A31" s="3" t="n"/>
      <c r="B31" s="3" t="n"/>
      <c r="C31" s="3" t="n"/>
      <c r="E31" s="9" t="n"/>
      <c r="F31" s="3" t="n"/>
    </row>
    <row r="32">
      <c r="A32" s="3" t="n"/>
      <c r="B32" s="3" t="n"/>
      <c r="C32" s="3" t="n"/>
      <c r="E32" s="9" t="n"/>
      <c r="F32" s="3" t="n"/>
    </row>
    <row r="33">
      <c r="A33" s="3" t="n"/>
      <c r="B33" s="3" t="n"/>
      <c r="C33" s="3" t="n"/>
      <c r="E33" s="9" t="n"/>
      <c r="F33" s="3" t="n"/>
    </row>
    <row r="34">
      <c r="A34" s="3" t="n"/>
      <c r="B34" s="3" t="n"/>
      <c r="C34" s="3" t="n"/>
      <c r="E34" s="9" t="n"/>
      <c r="F34" s="3" t="n"/>
    </row>
    <row r="35">
      <c r="A35" s="3" t="n"/>
      <c r="B35" s="3" t="n"/>
      <c r="C35" s="3" t="n"/>
      <c r="E35" s="9" t="n"/>
      <c r="F35" s="3" t="n"/>
    </row>
    <row r="36">
      <c r="A36" s="3" t="n"/>
      <c r="B36" s="3" t="n"/>
      <c r="C36" s="3" t="n"/>
      <c r="E36" s="9" t="n"/>
      <c r="F36" s="3" t="n"/>
    </row>
    <row r="37">
      <c r="A37" s="3" t="n"/>
      <c r="B37" s="3" t="n"/>
      <c r="C37" s="3" t="n"/>
      <c r="E37" s="9" t="n"/>
      <c r="F37" s="3" t="n"/>
    </row>
    <row r="38">
      <c r="A38" s="3" t="n"/>
      <c r="B38" s="3" t="n"/>
      <c r="C38" s="3" t="n"/>
      <c r="E38" s="9" t="n"/>
      <c r="F38" s="3" t="n"/>
    </row>
    <row r="39">
      <c r="A39" s="3" t="n"/>
      <c r="B39" s="3" t="n"/>
      <c r="C39" s="3" t="n"/>
      <c r="E39" s="9" t="n"/>
      <c r="F39" s="3" t="n"/>
    </row>
    <row r="40">
      <c r="A40" s="3" t="n"/>
      <c r="B40" s="3" t="n"/>
      <c r="C40" s="3" t="n"/>
      <c r="E40" s="9" t="n"/>
      <c r="F40" s="3" t="n"/>
    </row>
    <row r="41">
      <c r="A41" s="3" t="n"/>
      <c r="B41" s="3" t="n"/>
      <c r="C41" s="3" t="n"/>
      <c r="E41" s="9" t="n"/>
      <c r="F41" s="3" t="n"/>
    </row>
    <row r="42">
      <c r="A42" s="3" t="n"/>
      <c r="B42" s="3" t="n"/>
      <c r="C42" s="3" t="n"/>
      <c r="E42" s="9" t="n"/>
      <c r="F42" s="3" t="n"/>
    </row>
    <row r="43">
      <c r="A43" s="3" t="n"/>
      <c r="B43" s="3" t="n"/>
      <c r="C43" s="3" t="n"/>
      <c r="E43" s="9" t="n"/>
      <c r="F43" s="3" t="n"/>
    </row>
    <row r="44">
      <c r="A44" s="3" t="n"/>
      <c r="B44" s="3" t="n"/>
      <c r="C44" s="3" t="n"/>
      <c r="E44" s="9" t="n"/>
      <c r="F44" s="3" t="n"/>
    </row>
    <row r="45">
      <c r="A45" s="3" t="n"/>
      <c r="B45" s="3" t="n"/>
      <c r="C45" s="3" t="n"/>
      <c r="E45" s="9" t="n"/>
      <c r="F45" s="3" t="n"/>
    </row>
    <row r="46">
      <c r="A46" s="3" t="n"/>
      <c r="B46" s="3" t="n"/>
      <c r="C46" s="3" t="n"/>
      <c r="E46" s="9" t="n"/>
      <c r="F46" s="3" t="n"/>
    </row>
    <row r="47">
      <c r="A47" s="3" t="n"/>
      <c r="B47" s="3" t="n"/>
      <c r="C47" s="3" t="n"/>
      <c r="E47" s="9" t="n"/>
      <c r="F47" s="3" t="n"/>
    </row>
    <row r="48">
      <c r="A48" s="3" t="n"/>
      <c r="B48" s="3" t="n"/>
      <c r="C48" s="3" t="n"/>
      <c r="E48" s="9" t="n"/>
      <c r="F48" s="3" t="n"/>
    </row>
    <row r="49">
      <c r="A49" s="3" t="n"/>
      <c r="B49" s="3" t="n"/>
      <c r="C49" s="3" t="n"/>
      <c r="E49" s="9" t="n"/>
      <c r="F49" s="3" t="n"/>
    </row>
    <row r="50">
      <c r="A50" s="3" t="n"/>
      <c r="B50" s="3" t="n"/>
      <c r="C50" s="3" t="n"/>
      <c r="E50" s="9" t="n"/>
      <c r="F50" s="3" t="n"/>
    </row>
    <row r="51">
      <c r="A51" s="3" t="n"/>
      <c r="B51" s="3" t="n"/>
      <c r="C51" s="3" t="n"/>
      <c r="E51" s="9" t="n"/>
      <c r="F51" s="3" t="n"/>
    </row>
    <row r="52">
      <c r="A52" s="3" t="n"/>
      <c r="B52" s="3" t="n"/>
      <c r="C52" s="3" t="n"/>
      <c r="E52" s="9" t="n"/>
      <c r="F52" s="3" t="n"/>
    </row>
    <row r="53">
      <c r="A53" s="3" t="n"/>
      <c r="B53" s="3" t="n"/>
      <c r="C53" s="3" t="n"/>
      <c r="E53" s="9" t="n"/>
      <c r="F53" s="3" t="n"/>
    </row>
    <row r="54">
      <c r="A54" s="3" t="n"/>
      <c r="B54" s="3" t="n"/>
      <c r="C54" s="3" t="n"/>
      <c r="E54" s="9" t="n"/>
      <c r="F54" s="3" t="n"/>
    </row>
    <row r="55">
      <c r="A55" s="3" t="n"/>
      <c r="B55" s="3" t="n"/>
      <c r="C55" s="3" t="n"/>
      <c r="E55" s="9" t="n"/>
      <c r="F55" s="3" t="n"/>
    </row>
    <row r="56">
      <c r="A56" s="3" t="n"/>
      <c r="B56" s="3" t="n"/>
      <c r="C56" s="3" t="n"/>
      <c r="E56" s="9" t="n"/>
      <c r="F56" s="3" t="n"/>
    </row>
    <row r="57">
      <c r="A57" s="3" t="n"/>
      <c r="B57" s="3" t="n"/>
      <c r="C57" s="3" t="n"/>
      <c r="E57" s="9" t="n"/>
      <c r="F57" s="3" t="n"/>
    </row>
    <row r="58">
      <c r="A58" s="3" t="n"/>
      <c r="B58" s="3" t="n"/>
      <c r="C58" s="3" t="n"/>
      <c r="E58" s="9" t="n"/>
      <c r="F58" s="3" t="n"/>
    </row>
    <row r="59">
      <c r="A59" s="3" t="n"/>
      <c r="B59" s="3" t="n"/>
      <c r="C59" s="3" t="n"/>
      <c r="E59" s="9" t="n"/>
      <c r="F59" s="3" t="n"/>
    </row>
    <row r="60">
      <c r="A60" s="3" t="n"/>
      <c r="B60" s="3" t="n"/>
      <c r="C60" s="3" t="n"/>
      <c r="E60" s="9" t="n"/>
      <c r="F60" s="3" t="n"/>
    </row>
    <row r="61">
      <c r="A61" s="3" t="n"/>
      <c r="B61" s="3" t="n"/>
      <c r="C61" s="3" t="n"/>
      <c r="E61" s="9" t="n"/>
      <c r="F61" s="3" t="n"/>
    </row>
  </sheetData>
  <conditionalFormatting sqref="D2:D61">
    <cfRule type="cellIs" priority="1" operator="equal" dxfId="0">
      <formula>"Amend"</formula>
    </cfRule>
  </conditionalFormatting>
  <dataValidations count="2">
    <dataValidation sqref="D2:D61" showDropDown="0" showInputMessage="0" showErrorMessage="0" allowBlank="1" type="list">
      <formula1>"Match,Amend"</formula1>
    </dataValidation>
    <dataValidation sqref="E2:E61" showDropDown="0" showInputMessage="0" showErrorMessage="0" allowBlank="1" errorTitle="Date" error="Enter a date, for example 2024-09-01." type="date" operator="greaterThan">
      <formula1>DATE(1950,1,1)</formula1>
    </dataValidation>
  </dataValidations>
  <pageMargins left="0.75" right="0.75" top="1" bottom="1" header="0.5" footer="0.5"/>
</worksheet>
</file>

<file path=xl/worksheets/sheet11.xml><?xml version="1.0" encoding="utf-8"?>
<worksheet xmlns="http://schemas.openxmlformats.org/spreadsheetml/2006/main">
  <sheetPr>
    <tabColor rgb="001769E0"/>
    <outlinePr summaryBelow="1" summaryRight="1"/>
    <pageSetUpPr/>
  </sheetPr>
  <dimension ref="A1:F61"/>
  <sheetViews>
    <sheetView workbookViewId="0">
      <pane ySplit="1" topLeftCell="A2" activePane="bottomLeft" state="frozen"/>
      <selection pane="bottomLeft" activeCell="A1" sqref="A1"/>
    </sheetView>
  </sheetViews>
  <sheetFormatPr baseColWidth="8" defaultRowHeight="15"/>
  <cols>
    <col width="34" customWidth="1" min="1" max="1"/>
    <col width="36" customWidth="1" min="2" max="2"/>
    <col width="13" customWidth="1" min="3" max="3"/>
    <col width="13" customWidth="1" min="4" max="4"/>
    <col width="13" customWidth="1" min="5" max="5"/>
    <col width="30" customWidth="1" min="6" max="6"/>
  </cols>
  <sheetData>
    <row r="1" ht="34" customHeight="1">
      <c r="A1" s="8" t="inlineStr">
        <is>
          <t>Document</t>
        </is>
      </c>
      <c r="B1" s="8" t="inlineStr">
        <is>
          <t>Where to get it</t>
        </is>
      </c>
      <c r="C1" s="8" t="inlineStr">
        <is>
          <t>Requested on</t>
        </is>
      </c>
      <c r="D1" s="8" t="inlineStr">
        <is>
          <t>Received on</t>
        </is>
      </c>
      <c r="E1" s="8" t="inlineStr">
        <is>
          <t>Status</t>
        </is>
      </c>
      <c r="F1" s="8" t="inlineStr">
        <is>
          <t>Notes</t>
        </is>
      </c>
    </row>
    <row r="2">
      <c r="A2" s="3" t="inlineStr">
        <is>
          <t>Driving record, for every state where you've held a license</t>
        </is>
      </c>
      <c r="B2" s="3" t="inlineStr">
        <is>
          <t>Each state's motor vehicle agency (in Massachusetts, the RMV on mass.gov)</t>
        </is>
      </c>
      <c r="C2" s="9" t="n"/>
      <c r="D2" s="9" t="n"/>
      <c r="E2" s="6">
        <f>IF(D2&lt;&gt;"","Received",IF(AND(C2&lt;&gt;"",TODAY()-C2&gt;30),"Overdue",IF(C2&lt;&gt;"","Requested","")))</f>
        <v/>
      </c>
      <c r="F2" s="3" t="n"/>
    </row>
    <row r="3">
      <c r="A3" s="3" t="inlineStr">
        <is>
          <t>Credit report</t>
        </is>
      </c>
      <c r="B3" s="3" t="inlineStr">
        <is>
          <t>annualcreditreport.com, the free official site for all three bureaus</t>
        </is>
      </c>
      <c r="C3" s="9" t="n"/>
      <c r="D3" s="9" t="n"/>
      <c r="E3" s="6">
        <f>IF(D3&lt;&gt;"","Received",IF(AND(C3&lt;&gt;"",TODAY()-C3&gt;30),"Overdue",IF(C3&lt;&gt;"","Requested","")))</f>
        <v/>
      </c>
      <c r="F3" s="3" t="n"/>
    </row>
    <row r="4">
      <c r="A4" s="3" t="inlineStr">
        <is>
          <t>Court records for each matter on the Legal Matters tab</t>
        </is>
      </c>
      <c r="B4" s="3" t="inlineStr">
        <is>
          <t>The clerk's office of the court that handled it</t>
        </is>
      </c>
      <c r="C4" s="9" t="n"/>
      <c r="D4" s="9" t="n"/>
      <c r="E4" s="6">
        <f>IF(D4&lt;&gt;"","Received",IF(AND(C4&lt;&gt;"",TODAY()-C4&gt;30),"Overdue",IF(C4&lt;&gt;"","Requested","")))</f>
        <v/>
      </c>
      <c r="F4" s="3" t="n"/>
    </row>
    <row r="5">
      <c r="A5" s="3" t="inlineStr">
        <is>
          <t>A copy of your law school application</t>
        </is>
      </c>
      <c r="B5" s="3" t="inlineStr">
        <is>
          <t>Suffolk Law Admissions or the Dean of Students office</t>
        </is>
      </c>
      <c r="C5" s="9" t="n"/>
      <c r="D5" s="9" t="n"/>
      <c r="E5" s="6">
        <f>IF(D5&lt;&gt;"","Received",IF(AND(C5&lt;&gt;"",TODAY()-C5&gt;30),"Overdue",IF(C5&lt;&gt;"","Requested","")))</f>
        <v/>
      </c>
      <c r="F5" s="3" t="n"/>
    </row>
    <row r="6">
      <c r="A6" s="3" t="inlineStr">
        <is>
          <t>Transcripts and any discipline records from each school</t>
        </is>
      </c>
      <c r="B6" s="3" t="inlineStr">
        <is>
          <t>Each school's registrar or dean of students</t>
        </is>
      </c>
      <c r="C6" s="9" t="n"/>
      <c r="D6" s="9" t="n"/>
      <c r="E6" s="6">
        <f>IF(D6&lt;&gt;"","Received",IF(AND(C6&lt;&gt;"",TODAY()-C6&gt;30),"Overdue",IF(C6&lt;&gt;"","Requested","")))</f>
        <v/>
      </c>
      <c r="F6" s="3" t="n"/>
    </row>
    <row r="7">
      <c r="A7" s="3" t="n"/>
      <c r="B7" s="3" t="n"/>
      <c r="C7" s="9" t="n"/>
      <c r="D7" s="9" t="n"/>
      <c r="E7" s="6">
        <f>IF(D7&lt;&gt;"","Received",IF(AND(C7&lt;&gt;"",TODAY()-C7&gt;30),"Overdue",IF(C7&lt;&gt;"","Requested","")))</f>
        <v/>
      </c>
      <c r="F7" s="3" t="n"/>
    </row>
    <row r="8">
      <c r="A8" s="3" t="n"/>
      <c r="B8" s="3" t="n"/>
      <c r="C8" s="9" t="n"/>
      <c r="D8" s="9" t="n"/>
      <c r="E8" s="6">
        <f>IF(D8&lt;&gt;"","Received",IF(AND(C8&lt;&gt;"",TODAY()-C8&gt;30),"Overdue",IF(C8&lt;&gt;"","Requested","")))</f>
        <v/>
      </c>
      <c r="F8" s="3" t="n"/>
    </row>
    <row r="9">
      <c r="A9" s="3" t="n"/>
      <c r="B9" s="3" t="n"/>
      <c r="C9" s="9" t="n"/>
      <c r="D9" s="9" t="n"/>
      <c r="E9" s="6">
        <f>IF(D9&lt;&gt;"","Received",IF(AND(C9&lt;&gt;"",TODAY()-C9&gt;30),"Overdue",IF(C9&lt;&gt;"","Requested","")))</f>
        <v/>
      </c>
      <c r="F9" s="3" t="n"/>
    </row>
    <row r="10">
      <c r="A10" s="3" t="n"/>
      <c r="B10" s="3" t="n"/>
      <c r="C10" s="9" t="n"/>
      <c r="D10" s="9" t="n"/>
      <c r="E10" s="6">
        <f>IF(D10&lt;&gt;"","Received",IF(AND(C10&lt;&gt;"",TODAY()-C10&gt;30),"Overdue",IF(C10&lt;&gt;"","Requested","")))</f>
        <v/>
      </c>
      <c r="F10" s="3" t="n"/>
    </row>
    <row r="11">
      <c r="A11" s="3" t="n"/>
      <c r="B11" s="3" t="n"/>
      <c r="C11" s="9" t="n"/>
      <c r="D11" s="9" t="n"/>
      <c r="E11" s="6">
        <f>IF(D11&lt;&gt;"","Received",IF(AND(C11&lt;&gt;"",TODAY()-C11&gt;30),"Overdue",IF(C11&lt;&gt;"","Requested","")))</f>
        <v/>
      </c>
      <c r="F11" s="3" t="n"/>
    </row>
    <row r="12">
      <c r="A12" s="3" t="n"/>
      <c r="B12" s="3" t="n"/>
      <c r="C12" s="9" t="n"/>
      <c r="D12" s="9" t="n"/>
      <c r="E12" s="6">
        <f>IF(D12&lt;&gt;"","Received",IF(AND(C12&lt;&gt;"",TODAY()-C12&gt;30),"Overdue",IF(C12&lt;&gt;"","Requested","")))</f>
        <v/>
      </c>
      <c r="F12" s="3" t="n"/>
    </row>
    <row r="13">
      <c r="A13" s="3" t="n"/>
      <c r="B13" s="3" t="n"/>
      <c r="C13" s="9" t="n"/>
      <c r="D13" s="9" t="n"/>
      <c r="E13" s="6">
        <f>IF(D13&lt;&gt;"","Received",IF(AND(C13&lt;&gt;"",TODAY()-C13&gt;30),"Overdue",IF(C13&lt;&gt;"","Requested","")))</f>
        <v/>
      </c>
      <c r="F13" s="3" t="n"/>
    </row>
    <row r="14">
      <c r="A14" s="3" t="n"/>
      <c r="B14" s="3" t="n"/>
      <c r="C14" s="9" t="n"/>
      <c r="D14" s="9" t="n"/>
      <c r="E14" s="6">
        <f>IF(D14&lt;&gt;"","Received",IF(AND(C14&lt;&gt;"",TODAY()-C14&gt;30),"Overdue",IF(C14&lt;&gt;"","Requested","")))</f>
        <v/>
      </c>
      <c r="F14" s="3" t="n"/>
    </row>
    <row r="15">
      <c r="A15" s="3" t="n"/>
      <c r="B15" s="3" t="n"/>
      <c r="C15" s="9" t="n"/>
      <c r="D15" s="9" t="n"/>
      <c r="E15" s="6">
        <f>IF(D15&lt;&gt;"","Received",IF(AND(C15&lt;&gt;"",TODAY()-C15&gt;30),"Overdue",IF(C15&lt;&gt;"","Requested","")))</f>
        <v/>
      </c>
      <c r="F15" s="3" t="n"/>
    </row>
    <row r="16">
      <c r="A16" s="3" t="n"/>
      <c r="B16" s="3" t="n"/>
      <c r="C16" s="9" t="n"/>
      <c r="D16" s="9" t="n"/>
      <c r="E16" s="6">
        <f>IF(D16&lt;&gt;"","Received",IF(AND(C16&lt;&gt;"",TODAY()-C16&gt;30),"Overdue",IF(C16&lt;&gt;"","Requested","")))</f>
        <v/>
      </c>
      <c r="F16" s="3" t="n"/>
    </row>
    <row r="17">
      <c r="A17" s="3" t="n"/>
      <c r="B17" s="3" t="n"/>
      <c r="C17" s="9" t="n"/>
      <c r="D17" s="9" t="n"/>
      <c r="E17" s="6">
        <f>IF(D17&lt;&gt;"","Received",IF(AND(C17&lt;&gt;"",TODAY()-C17&gt;30),"Overdue",IF(C17&lt;&gt;"","Requested","")))</f>
        <v/>
      </c>
      <c r="F17" s="3" t="n"/>
    </row>
    <row r="18">
      <c r="A18" s="3" t="n"/>
      <c r="B18" s="3" t="n"/>
      <c r="C18" s="9" t="n"/>
      <c r="D18" s="9" t="n"/>
      <c r="E18" s="6">
        <f>IF(D18&lt;&gt;"","Received",IF(AND(C18&lt;&gt;"",TODAY()-C18&gt;30),"Overdue",IF(C18&lt;&gt;"","Requested","")))</f>
        <v/>
      </c>
      <c r="F18" s="3" t="n"/>
    </row>
    <row r="19">
      <c r="A19" s="3" t="n"/>
      <c r="B19" s="3" t="n"/>
      <c r="C19" s="9" t="n"/>
      <c r="D19" s="9" t="n"/>
      <c r="E19" s="6">
        <f>IF(D19&lt;&gt;"","Received",IF(AND(C19&lt;&gt;"",TODAY()-C19&gt;30),"Overdue",IF(C19&lt;&gt;"","Requested","")))</f>
        <v/>
      </c>
      <c r="F19" s="3" t="n"/>
    </row>
    <row r="20">
      <c r="A20" s="3" t="n"/>
      <c r="B20" s="3" t="n"/>
      <c r="C20" s="9" t="n"/>
      <c r="D20" s="9" t="n"/>
      <c r="E20" s="6">
        <f>IF(D20&lt;&gt;"","Received",IF(AND(C20&lt;&gt;"",TODAY()-C20&gt;30),"Overdue",IF(C20&lt;&gt;"","Requested","")))</f>
        <v/>
      </c>
      <c r="F20" s="3" t="n"/>
    </row>
    <row r="21">
      <c r="A21" s="3" t="n"/>
      <c r="B21" s="3" t="n"/>
      <c r="C21" s="9" t="n"/>
      <c r="D21" s="9" t="n"/>
      <c r="E21" s="6">
        <f>IF(D21&lt;&gt;"","Received",IF(AND(C21&lt;&gt;"",TODAY()-C21&gt;30),"Overdue",IF(C21&lt;&gt;"","Requested","")))</f>
        <v/>
      </c>
      <c r="F21" s="3" t="n"/>
    </row>
    <row r="22">
      <c r="A22" s="3" t="n"/>
      <c r="B22" s="3" t="n"/>
      <c r="C22" s="9" t="n"/>
      <c r="D22" s="9" t="n"/>
      <c r="E22" s="6">
        <f>IF(D22&lt;&gt;"","Received",IF(AND(C22&lt;&gt;"",TODAY()-C22&gt;30),"Overdue",IF(C22&lt;&gt;"","Requested","")))</f>
        <v/>
      </c>
      <c r="F22" s="3" t="n"/>
    </row>
    <row r="23">
      <c r="A23" s="3" t="n"/>
      <c r="B23" s="3" t="n"/>
      <c r="C23" s="9" t="n"/>
      <c r="D23" s="9" t="n"/>
      <c r="E23" s="6">
        <f>IF(D23&lt;&gt;"","Received",IF(AND(C23&lt;&gt;"",TODAY()-C23&gt;30),"Overdue",IF(C23&lt;&gt;"","Requested","")))</f>
        <v/>
      </c>
      <c r="F23" s="3" t="n"/>
    </row>
    <row r="24">
      <c r="A24" s="3" t="n"/>
      <c r="B24" s="3" t="n"/>
      <c r="C24" s="9" t="n"/>
      <c r="D24" s="9" t="n"/>
      <c r="E24" s="6">
        <f>IF(D24&lt;&gt;"","Received",IF(AND(C24&lt;&gt;"",TODAY()-C24&gt;30),"Overdue",IF(C24&lt;&gt;"","Requested","")))</f>
        <v/>
      </c>
      <c r="F24" s="3" t="n"/>
    </row>
    <row r="25">
      <c r="A25" s="3" t="n"/>
      <c r="B25" s="3" t="n"/>
      <c r="C25" s="9" t="n"/>
      <c r="D25" s="9" t="n"/>
      <c r="E25" s="6">
        <f>IF(D25&lt;&gt;"","Received",IF(AND(C25&lt;&gt;"",TODAY()-C25&gt;30),"Overdue",IF(C25&lt;&gt;"","Requested","")))</f>
        <v/>
      </c>
      <c r="F25" s="3" t="n"/>
    </row>
    <row r="26">
      <c r="A26" s="3" t="n"/>
      <c r="B26" s="3" t="n"/>
      <c r="C26" s="9" t="n"/>
      <c r="D26" s="9" t="n"/>
      <c r="E26" s="6">
        <f>IF(D26&lt;&gt;"","Received",IF(AND(C26&lt;&gt;"",TODAY()-C26&gt;30),"Overdue",IF(C26&lt;&gt;"","Requested","")))</f>
        <v/>
      </c>
      <c r="F26" s="3" t="n"/>
    </row>
    <row r="27">
      <c r="A27" s="3" t="n"/>
      <c r="B27" s="3" t="n"/>
      <c r="C27" s="9" t="n"/>
      <c r="D27" s="9" t="n"/>
      <c r="E27" s="6">
        <f>IF(D27&lt;&gt;"","Received",IF(AND(C27&lt;&gt;"",TODAY()-C27&gt;30),"Overdue",IF(C27&lt;&gt;"","Requested","")))</f>
        <v/>
      </c>
      <c r="F27" s="3" t="n"/>
    </row>
    <row r="28">
      <c r="A28" s="3" t="n"/>
      <c r="B28" s="3" t="n"/>
      <c r="C28" s="9" t="n"/>
      <c r="D28" s="9" t="n"/>
      <c r="E28" s="6">
        <f>IF(D28&lt;&gt;"","Received",IF(AND(C28&lt;&gt;"",TODAY()-C28&gt;30),"Overdue",IF(C28&lt;&gt;"","Requested","")))</f>
        <v/>
      </c>
      <c r="F28" s="3" t="n"/>
    </row>
    <row r="29">
      <c r="A29" s="3" t="n"/>
      <c r="B29" s="3" t="n"/>
      <c r="C29" s="9" t="n"/>
      <c r="D29" s="9" t="n"/>
      <c r="E29" s="6">
        <f>IF(D29&lt;&gt;"","Received",IF(AND(C29&lt;&gt;"",TODAY()-C29&gt;30),"Overdue",IF(C29&lt;&gt;"","Requested","")))</f>
        <v/>
      </c>
      <c r="F29" s="3" t="n"/>
    </row>
    <row r="30">
      <c r="A30" s="3" t="n"/>
      <c r="B30" s="3" t="n"/>
      <c r="C30" s="9" t="n"/>
      <c r="D30" s="9" t="n"/>
      <c r="E30" s="6">
        <f>IF(D30&lt;&gt;"","Received",IF(AND(C30&lt;&gt;"",TODAY()-C30&gt;30),"Overdue",IF(C30&lt;&gt;"","Requested","")))</f>
        <v/>
      </c>
      <c r="F30" s="3" t="n"/>
    </row>
    <row r="31">
      <c r="A31" s="3" t="n"/>
      <c r="B31" s="3" t="n"/>
      <c r="C31" s="9" t="n"/>
      <c r="D31" s="9" t="n"/>
      <c r="E31" s="6">
        <f>IF(D31&lt;&gt;"","Received",IF(AND(C31&lt;&gt;"",TODAY()-C31&gt;30),"Overdue",IF(C31&lt;&gt;"","Requested","")))</f>
        <v/>
      </c>
      <c r="F31" s="3" t="n"/>
    </row>
    <row r="32">
      <c r="A32" s="3" t="n"/>
      <c r="B32" s="3" t="n"/>
      <c r="C32" s="9" t="n"/>
      <c r="D32" s="9" t="n"/>
      <c r="E32" s="6">
        <f>IF(D32&lt;&gt;"","Received",IF(AND(C32&lt;&gt;"",TODAY()-C32&gt;30),"Overdue",IF(C32&lt;&gt;"","Requested","")))</f>
        <v/>
      </c>
      <c r="F32" s="3" t="n"/>
    </row>
    <row r="33">
      <c r="A33" s="3" t="n"/>
      <c r="B33" s="3" t="n"/>
      <c r="C33" s="9" t="n"/>
      <c r="D33" s="9" t="n"/>
      <c r="E33" s="6">
        <f>IF(D33&lt;&gt;"","Received",IF(AND(C33&lt;&gt;"",TODAY()-C33&gt;30),"Overdue",IF(C33&lt;&gt;"","Requested","")))</f>
        <v/>
      </c>
      <c r="F33" s="3" t="n"/>
    </row>
    <row r="34">
      <c r="A34" s="3" t="n"/>
      <c r="B34" s="3" t="n"/>
      <c r="C34" s="9" t="n"/>
      <c r="D34" s="9" t="n"/>
      <c r="E34" s="6">
        <f>IF(D34&lt;&gt;"","Received",IF(AND(C34&lt;&gt;"",TODAY()-C34&gt;30),"Overdue",IF(C34&lt;&gt;"","Requested","")))</f>
        <v/>
      </c>
      <c r="F34" s="3" t="n"/>
    </row>
    <row r="35">
      <c r="A35" s="3" t="n"/>
      <c r="B35" s="3" t="n"/>
      <c r="C35" s="9" t="n"/>
      <c r="D35" s="9" t="n"/>
      <c r="E35" s="6">
        <f>IF(D35&lt;&gt;"","Received",IF(AND(C35&lt;&gt;"",TODAY()-C35&gt;30),"Overdue",IF(C35&lt;&gt;"","Requested","")))</f>
        <v/>
      </c>
      <c r="F35" s="3" t="n"/>
    </row>
    <row r="36">
      <c r="A36" s="3" t="n"/>
      <c r="B36" s="3" t="n"/>
      <c r="C36" s="9" t="n"/>
      <c r="D36" s="9" t="n"/>
      <c r="E36" s="6">
        <f>IF(D36&lt;&gt;"","Received",IF(AND(C36&lt;&gt;"",TODAY()-C36&gt;30),"Overdue",IF(C36&lt;&gt;"","Requested","")))</f>
        <v/>
      </c>
      <c r="F36" s="3" t="n"/>
    </row>
    <row r="37">
      <c r="A37" s="3" t="n"/>
      <c r="B37" s="3" t="n"/>
      <c r="C37" s="9" t="n"/>
      <c r="D37" s="9" t="n"/>
      <c r="E37" s="6">
        <f>IF(D37&lt;&gt;"","Received",IF(AND(C37&lt;&gt;"",TODAY()-C37&gt;30),"Overdue",IF(C37&lt;&gt;"","Requested","")))</f>
        <v/>
      </c>
      <c r="F37" s="3" t="n"/>
    </row>
    <row r="38">
      <c r="A38" s="3" t="n"/>
      <c r="B38" s="3" t="n"/>
      <c r="C38" s="9" t="n"/>
      <c r="D38" s="9" t="n"/>
      <c r="E38" s="6">
        <f>IF(D38&lt;&gt;"","Received",IF(AND(C38&lt;&gt;"",TODAY()-C38&gt;30),"Overdue",IF(C38&lt;&gt;"","Requested","")))</f>
        <v/>
      </c>
      <c r="F38" s="3" t="n"/>
    </row>
    <row r="39">
      <c r="A39" s="3" t="n"/>
      <c r="B39" s="3" t="n"/>
      <c r="C39" s="9" t="n"/>
      <c r="D39" s="9" t="n"/>
      <c r="E39" s="6">
        <f>IF(D39&lt;&gt;"","Received",IF(AND(C39&lt;&gt;"",TODAY()-C39&gt;30),"Overdue",IF(C39&lt;&gt;"","Requested","")))</f>
        <v/>
      </c>
      <c r="F39" s="3" t="n"/>
    </row>
    <row r="40">
      <c r="A40" s="3" t="n"/>
      <c r="B40" s="3" t="n"/>
      <c r="C40" s="9" t="n"/>
      <c r="D40" s="9" t="n"/>
      <c r="E40" s="6">
        <f>IF(D40&lt;&gt;"","Received",IF(AND(C40&lt;&gt;"",TODAY()-C40&gt;30),"Overdue",IF(C40&lt;&gt;"","Requested","")))</f>
        <v/>
      </c>
      <c r="F40" s="3" t="n"/>
    </row>
    <row r="41">
      <c r="A41" s="3" t="n"/>
      <c r="B41" s="3" t="n"/>
      <c r="C41" s="9" t="n"/>
      <c r="D41" s="9" t="n"/>
      <c r="E41" s="6">
        <f>IF(D41&lt;&gt;"","Received",IF(AND(C41&lt;&gt;"",TODAY()-C41&gt;30),"Overdue",IF(C41&lt;&gt;"","Requested","")))</f>
        <v/>
      </c>
      <c r="F41" s="3" t="n"/>
    </row>
    <row r="42">
      <c r="A42" s="3" t="n"/>
      <c r="B42" s="3" t="n"/>
      <c r="C42" s="9" t="n"/>
      <c r="D42" s="9" t="n"/>
      <c r="E42" s="6">
        <f>IF(D42&lt;&gt;"","Received",IF(AND(C42&lt;&gt;"",TODAY()-C42&gt;30),"Overdue",IF(C42&lt;&gt;"","Requested","")))</f>
        <v/>
      </c>
      <c r="F42" s="3" t="n"/>
    </row>
    <row r="43">
      <c r="A43" s="3" t="n"/>
      <c r="B43" s="3" t="n"/>
      <c r="C43" s="9" t="n"/>
      <c r="D43" s="9" t="n"/>
      <c r="E43" s="6">
        <f>IF(D43&lt;&gt;"","Received",IF(AND(C43&lt;&gt;"",TODAY()-C43&gt;30),"Overdue",IF(C43&lt;&gt;"","Requested","")))</f>
        <v/>
      </c>
      <c r="F43" s="3" t="n"/>
    </row>
    <row r="44">
      <c r="A44" s="3" t="n"/>
      <c r="B44" s="3" t="n"/>
      <c r="C44" s="9" t="n"/>
      <c r="D44" s="9" t="n"/>
      <c r="E44" s="6">
        <f>IF(D44&lt;&gt;"","Received",IF(AND(C44&lt;&gt;"",TODAY()-C44&gt;30),"Overdue",IF(C44&lt;&gt;"","Requested","")))</f>
        <v/>
      </c>
      <c r="F44" s="3" t="n"/>
    </row>
    <row r="45">
      <c r="A45" s="3" t="n"/>
      <c r="B45" s="3" t="n"/>
      <c r="C45" s="9" t="n"/>
      <c r="D45" s="9" t="n"/>
      <c r="E45" s="6">
        <f>IF(D45&lt;&gt;"","Received",IF(AND(C45&lt;&gt;"",TODAY()-C45&gt;30),"Overdue",IF(C45&lt;&gt;"","Requested","")))</f>
        <v/>
      </c>
      <c r="F45" s="3" t="n"/>
    </row>
    <row r="46">
      <c r="A46" s="3" t="n"/>
      <c r="B46" s="3" t="n"/>
      <c r="C46" s="9" t="n"/>
      <c r="D46" s="9" t="n"/>
      <c r="E46" s="6">
        <f>IF(D46&lt;&gt;"","Received",IF(AND(C46&lt;&gt;"",TODAY()-C46&gt;30),"Overdue",IF(C46&lt;&gt;"","Requested","")))</f>
        <v/>
      </c>
      <c r="F46" s="3" t="n"/>
    </row>
    <row r="47">
      <c r="A47" s="3" t="n"/>
      <c r="B47" s="3" t="n"/>
      <c r="C47" s="9" t="n"/>
      <c r="D47" s="9" t="n"/>
      <c r="E47" s="6">
        <f>IF(D47&lt;&gt;"","Received",IF(AND(C47&lt;&gt;"",TODAY()-C47&gt;30),"Overdue",IF(C47&lt;&gt;"","Requested","")))</f>
        <v/>
      </c>
      <c r="F47" s="3" t="n"/>
    </row>
    <row r="48">
      <c r="A48" s="3" t="n"/>
      <c r="B48" s="3" t="n"/>
      <c r="C48" s="9" t="n"/>
      <c r="D48" s="9" t="n"/>
      <c r="E48" s="6">
        <f>IF(D48&lt;&gt;"","Received",IF(AND(C48&lt;&gt;"",TODAY()-C48&gt;30),"Overdue",IF(C48&lt;&gt;"","Requested","")))</f>
        <v/>
      </c>
      <c r="F48" s="3" t="n"/>
    </row>
    <row r="49">
      <c r="A49" s="3" t="n"/>
      <c r="B49" s="3" t="n"/>
      <c r="C49" s="9" t="n"/>
      <c r="D49" s="9" t="n"/>
      <c r="E49" s="6">
        <f>IF(D49&lt;&gt;"","Received",IF(AND(C49&lt;&gt;"",TODAY()-C49&gt;30),"Overdue",IF(C49&lt;&gt;"","Requested","")))</f>
        <v/>
      </c>
      <c r="F49" s="3" t="n"/>
    </row>
    <row r="50">
      <c r="A50" s="3" t="n"/>
      <c r="B50" s="3" t="n"/>
      <c r="C50" s="9" t="n"/>
      <c r="D50" s="9" t="n"/>
      <c r="E50" s="6">
        <f>IF(D50&lt;&gt;"","Received",IF(AND(C50&lt;&gt;"",TODAY()-C50&gt;30),"Overdue",IF(C50&lt;&gt;"","Requested","")))</f>
        <v/>
      </c>
      <c r="F50" s="3" t="n"/>
    </row>
    <row r="51">
      <c r="A51" s="3" t="n"/>
      <c r="B51" s="3" t="n"/>
      <c r="C51" s="9" t="n"/>
      <c r="D51" s="9" t="n"/>
      <c r="E51" s="6">
        <f>IF(D51&lt;&gt;"","Received",IF(AND(C51&lt;&gt;"",TODAY()-C51&gt;30),"Overdue",IF(C51&lt;&gt;"","Requested","")))</f>
        <v/>
      </c>
      <c r="F51" s="3" t="n"/>
    </row>
    <row r="52">
      <c r="A52" s="3" t="n"/>
      <c r="B52" s="3" t="n"/>
      <c r="C52" s="9" t="n"/>
      <c r="D52" s="9" t="n"/>
      <c r="E52" s="6">
        <f>IF(D52&lt;&gt;"","Received",IF(AND(C52&lt;&gt;"",TODAY()-C52&gt;30),"Overdue",IF(C52&lt;&gt;"","Requested","")))</f>
        <v/>
      </c>
      <c r="F52" s="3" t="n"/>
    </row>
    <row r="53">
      <c r="A53" s="3" t="n"/>
      <c r="B53" s="3" t="n"/>
      <c r="C53" s="9" t="n"/>
      <c r="D53" s="9" t="n"/>
      <c r="E53" s="6">
        <f>IF(D53&lt;&gt;"","Received",IF(AND(C53&lt;&gt;"",TODAY()-C53&gt;30),"Overdue",IF(C53&lt;&gt;"","Requested","")))</f>
        <v/>
      </c>
      <c r="F53" s="3" t="n"/>
    </row>
    <row r="54">
      <c r="A54" s="3" t="n"/>
      <c r="B54" s="3" t="n"/>
      <c r="C54" s="9" t="n"/>
      <c r="D54" s="9" t="n"/>
      <c r="E54" s="6">
        <f>IF(D54&lt;&gt;"","Received",IF(AND(C54&lt;&gt;"",TODAY()-C54&gt;30),"Overdue",IF(C54&lt;&gt;"","Requested","")))</f>
        <v/>
      </c>
      <c r="F54" s="3" t="n"/>
    </row>
    <row r="55">
      <c r="A55" s="3" t="n"/>
      <c r="B55" s="3" t="n"/>
      <c r="C55" s="9" t="n"/>
      <c r="D55" s="9" t="n"/>
      <c r="E55" s="6">
        <f>IF(D55&lt;&gt;"","Received",IF(AND(C55&lt;&gt;"",TODAY()-C55&gt;30),"Overdue",IF(C55&lt;&gt;"","Requested","")))</f>
        <v/>
      </c>
      <c r="F55" s="3" t="n"/>
    </row>
    <row r="56">
      <c r="A56" s="3" t="n"/>
      <c r="B56" s="3" t="n"/>
      <c r="C56" s="9" t="n"/>
      <c r="D56" s="9" t="n"/>
      <c r="E56" s="6">
        <f>IF(D56&lt;&gt;"","Received",IF(AND(C56&lt;&gt;"",TODAY()-C56&gt;30),"Overdue",IF(C56&lt;&gt;"","Requested","")))</f>
        <v/>
      </c>
      <c r="F56" s="3" t="n"/>
    </row>
    <row r="57">
      <c r="A57" s="3" t="n"/>
      <c r="B57" s="3" t="n"/>
      <c r="C57" s="9" t="n"/>
      <c r="D57" s="9" t="n"/>
      <c r="E57" s="6">
        <f>IF(D57&lt;&gt;"","Received",IF(AND(C57&lt;&gt;"",TODAY()-C57&gt;30),"Overdue",IF(C57&lt;&gt;"","Requested","")))</f>
        <v/>
      </c>
      <c r="F57" s="3" t="n"/>
    </row>
    <row r="58">
      <c r="A58" s="3" t="n"/>
      <c r="B58" s="3" t="n"/>
      <c r="C58" s="9" t="n"/>
      <c r="D58" s="9" t="n"/>
      <c r="E58" s="6">
        <f>IF(D58&lt;&gt;"","Received",IF(AND(C58&lt;&gt;"",TODAY()-C58&gt;30),"Overdue",IF(C58&lt;&gt;"","Requested","")))</f>
        <v/>
      </c>
      <c r="F58" s="3" t="n"/>
    </row>
    <row r="59">
      <c r="A59" s="3" t="n"/>
      <c r="B59" s="3" t="n"/>
      <c r="C59" s="9" t="n"/>
      <c r="D59" s="9" t="n"/>
      <c r="E59" s="6">
        <f>IF(D59&lt;&gt;"","Received",IF(AND(C59&lt;&gt;"",TODAY()-C59&gt;30),"Overdue",IF(C59&lt;&gt;"","Requested","")))</f>
        <v/>
      </c>
      <c r="F59" s="3" t="n"/>
    </row>
    <row r="60">
      <c r="A60" s="3" t="n"/>
      <c r="B60" s="3" t="n"/>
      <c r="C60" s="9" t="n"/>
      <c r="D60" s="9" t="n"/>
      <c r="E60" s="6">
        <f>IF(D60&lt;&gt;"","Received",IF(AND(C60&lt;&gt;"",TODAY()-C60&gt;30),"Overdue",IF(C60&lt;&gt;"","Requested","")))</f>
        <v/>
      </c>
      <c r="F60" s="3" t="n"/>
    </row>
    <row r="61">
      <c r="A61" s="3" t="n"/>
      <c r="B61" s="3" t="n"/>
      <c r="C61" s="9" t="n"/>
      <c r="D61" s="9" t="n"/>
      <c r="E61" s="6">
        <f>IF(D61&lt;&gt;"","Received",IF(AND(C61&lt;&gt;"",TODAY()-C61&gt;30),"Overdue",IF(C61&lt;&gt;"","Requested","")))</f>
        <v/>
      </c>
      <c r="F61" s="3" t="n"/>
    </row>
  </sheetData>
  <conditionalFormatting sqref="E2:E61">
    <cfRule type="cellIs" priority="1" operator="equal" dxfId="1">
      <formula>"Overdue"</formula>
    </cfRule>
  </conditionalFormatting>
  <dataValidations count="2">
    <dataValidation sqref="C2:C61" showDropDown="0" showInputMessage="0" showErrorMessage="0" allowBlank="1" errorTitle="Date" error="Enter a date, for example 2024-09-01." type="date" operator="greaterThan">
      <formula1>DATE(1950,1,1)</formula1>
    </dataValidation>
    <dataValidation sqref="D2:D61" showDropDown="0" showInputMessage="0" showErrorMessage="0" allowBlank="1" errorTitle="Date" error="Enter a date, for example 2024-09-01." type="date" operator="greaterThan">
      <formula1>DATE(1950,1,1)</formula1>
    </dataValidation>
  </dataValidations>
  <pageMargins left="0.75" right="0.75" top="1" bottom="1" header="0.5" footer="0.5"/>
</worksheet>
</file>

<file path=xl/worksheets/sheet12.xml><?xml version="1.0" encoding="utf-8"?>
<worksheet xmlns="http://schemas.openxmlformats.org/spreadsheetml/2006/main">
  <sheetPr>
    <tabColor rgb="001769E0"/>
    <outlinePr summaryBelow="1" summaryRight="1"/>
    <pageSetUpPr/>
  </sheetPr>
  <dimension ref="A1:B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s>
  <sheetData>
    <row r="1" ht="34" customHeight="1">
      <c r="A1" s="8" t="inlineStr">
        <is>
          <t>Date</t>
        </is>
      </c>
      <c r="B1" s="8" t="inlineStr">
        <is>
          <t>What changed</t>
        </is>
      </c>
    </row>
    <row r="2">
      <c r="A2" s="9" t="n"/>
      <c r="B2" s="3" t="n"/>
    </row>
    <row r="3">
      <c r="A3" s="9" t="n"/>
      <c r="B3" s="3" t="n"/>
    </row>
    <row r="4">
      <c r="A4" s="9" t="n"/>
      <c r="B4" s="3" t="n"/>
    </row>
    <row r="5">
      <c r="A5" s="9" t="n"/>
      <c r="B5" s="3" t="n"/>
    </row>
    <row r="6">
      <c r="A6" s="9" t="n"/>
      <c r="B6" s="3" t="n"/>
    </row>
    <row r="7">
      <c r="A7" s="9" t="n"/>
      <c r="B7" s="3" t="n"/>
    </row>
    <row r="8">
      <c r="A8" s="9" t="n"/>
      <c r="B8" s="3" t="n"/>
    </row>
    <row r="9">
      <c r="A9" s="9" t="n"/>
      <c r="B9" s="3" t="n"/>
    </row>
    <row r="10">
      <c r="A10" s="9" t="n"/>
      <c r="B10" s="3" t="n"/>
    </row>
    <row r="11">
      <c r="A11" s="9" t="n"/>
      <c r="B11" s="3" t="n"/>
    </row>
    <row r="12">
      <c r="A12" s="9" t="n"/>
      <c r="B12" s="3" t="n"/>
    </row>
    <row r="13">
      <c r="A13" s="9" t="n"/>
      <c r="B13" s="3" t="n"/>
    </row>
    <row r="14">
      <c r="A14" s="9" t="n"/>
      <c r="B14" s="3" t="n"/>
    </row>
    <row r="15">
      <c r="A15" s="9" t="n"/>
      <c r="B15" s="3" t="n"/>
    </row>
    <row r="16">
      <c r="A16" s="9" t="n"/>
      <c r="B16" s="3" t="n"/>
    </row>
    <row r="17">
      <c r="A17" s="9" t="n"/>
      <c r="B17" s="3" t="n"/>
    </row>
    <row r="18">
      <c r="A18" s="9" t="n"/>
      <c r="B18" s="3" t="n"/>
    </row>
    <row r="19">
      <c r="A19" s="9" t="n"/>
      <c r="B19" s="3" t="n"/>
    </row>
    <row r="20">
      <c r="A20" s="9" t="n"/>
      <c r="B20" s="3" t="n"/>
    </row>
    <row r="21">
      <c r="A21" s="9" t="n"/>
      <c r="B21" s="3" t="n"/>
    </row>
    <row r="22">
      <c r="A22" s="9" t="n"/>
      <c r="B22" s="3" t="n"/>
    </row>
    <row r="23">
      <c r="A23" s="9" t="n"/>
      <c r="B23" s="3" t="n"/>
    </row>
    <row r="24">
      <c r="A24" s="9" t="n"/>
      <c r="B24" s="3" t="n"/>
    </row>
    <row r="25">
      <c r="A25" s="9" t="n"/>
      <c r="B25" s="3" t="n"/>
    </row>
    <row r="26">
      <c r="A26" s="9" t="n"/>
      <c r="B26" s="3" t="n"/>
    </row>
    <row r="27">
      <c r="A27" s="9" t="n"/>
      <c r="B27" s="3" t="n"/>
    </row>
    <row r="28">
      <c r="A28" s="9" t="n"/>
      <c r="B28" s="3" t="n"/>
    </row>
    <row r="29">
      <c r="A29" s="9" t="n"/>
      <c r="B29" s="3" t="n"/>
    </row>
    <row r="30">
      <c r="A30" s="9" t="n"/>
      <c r="B30" s="3" t="n"/>
    </row>
    <row r="31">
      <c r="A31" s="9" t="n"/>
      <c r="B31" s="3" t="n"/>
    </row>
    <row r="32">
      <c r="A32" s="9" t="n"/>
      <c r="B32" s="3" t="n"/>
    </row>
    <row r="33">
      <c r="A33" s="9" t="n"/>
      <c r="B33" s="3" t="n"/>
    </row>
    <row r="34">
      <c r="A34" s="9" t="n"/>
      <c r="B34" s="3" t="n"/>
    </row>
    <row r="35">
      <c r="A35" s="9" t="n"/>
      <c r="B35" s="3" t="n"/>
    </row>
    <row r="36">
      <c r="A36" s="9" t="n"/>
      <c r="B36" s="3" t="n"/>
    </row>
    <row r="37">
      <c r="A37" s="9" t="n"/>
      <c r="B37" s="3" t="n"/>
    </row>
    <row r="38">
      <c r="A38" s="9" t="n"/>
      <c r="B38" s="3" t="n"/>
    </row>
    <row r="39">
      <c r="A39" s="9" t="n"/>
      <c r="B39" s="3" t="n"/>
    </row>
    <row r="40">
      <c r="A40" s="9" t="n"/>
      <c r="B40" s="3" t="n"/>
    </row>
    <row r="41">
      <c r="A41" s="9" t="n"/>
      <c r="B41" s="3" t="n"/>
    </row>
    <row r="42">
      <c r="A42" s="9" t="n"/>
      <c r="B42" s="3" t="n"/>
    </row>
    <row r="43">
      <c r="A43" s="9" t="n"/>
      <c r="B43" s="3" t="n"/>
    </row>
    <row r="44">
      <c r="A44" s="9" t="n"/>
      <c r="B44" s="3" t="n"/>
    </row>
    <row r="45">
      <c r="A45" s="9" t="n"/>
      <c r="B45" s="3" t="n"/>
    </row>
    <row r="46">
      <c r="A46" s="9" t="n"/>
      <c r="B46" s="3" t="n"/>
    </row>
    <row r="47">
      <c r="A47" s="9" t="n"/>
      <c r="B47" s="3" t="n"/>
    </row>
    <row r="48">
      <c r="A48" s="9" t="n"/>
      <c r="B48" s="3" t="n"/>
    </row>
    <row r="49">
      <c r="A49" s="9" t="n"/>
      <c r="B49" s="3" t="n"/>
    </row>
    <row r="50">
      <c r="A50" s="9" t="n"/>
      <c r="B50" s="3" t="n"/>
    </row>
    <row r="51">
      <c r="A51" s="9" t="n"/>
      <c r="B51" s="3" t="n"/>
    </row>
    <row r="52">
      <c r="A52" s="9" t="n"/>
      <c r="B52" s="3" t="n"/>
    </row>
    <row r="53">
      <c r="A53" s="9" t="n"/>
      <c r="B53" s="3" t="n"/>
    </row>
    <row r="54">
      <c r="A54" s="9" t="n"/>
      <c r="B54" s="3" t="n"/>
    </row>
    <row r="55">
      <c r="A55" s="9" t="n"/>
      <c r="B55" s="3" t="n"/>
    </row>
    <row r="56">
      <c r="A56" s="9" t="n"/>
      <c r="B56" s="3" t="n"/>
    </row>
    <row r="57">
      <c r="A57" s="9" t="n"/>
      <c r="B57" s="3" t="n"/>
    </row>
    <row r="58">
      <c r="A58" s="9" t="n"/>
      <c r="B58" s="3" t="n"/>
    </row>
    <row r="59">
      <c r="A59" s="9" t="n"/>
      <c r="B59" s="3" t="n"/>
    </row>
    <row r="60">
      <c r="A60" s="9" t="n"/>
      <c r="B60" s="3" t="n"/>
    </row>
    <row r="61">
      <c r="A61" s="9" t="n"/>
      <c r="B61" s="3" t="n"/>
    </row>
  </sheetData>
  <dataValidations count="1">
    <dataValidation sqref="A2:A61" showDropDown="0" showInputMessage="0" showErrorMessage="0" allowBlank="1" errorTitle="Date" error="Enter a date, for example 2024-09-01." type="date" operator="greaterThan">
      <formula1>DATE(1950,1,1)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LITSA, Suffolk Law</dc:creator>
  <dc:title>Character &amp; fitness kit</dc:title>
  <dcterms:created xsi:type="dcterms:W3CDTF">2026-10-20T15:33:37Z</dcterms:created>
  <dcterms:modified xsi:type="dcterms:W3CDTF">2026-10-20T15:33:37Z</dcterms:modified>
</cp:coreProperties>
</file>